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rjc-my.sharepoint.com/personal/marcos_robles_urjc_es/Documents/CMinSA/"/>
    </mc:Choice>
  </mc:AlternateContent>
  <xr:revisionPtr revIDLastSave="154" documentId="8_{A019C27F-EE36-4E95-8268-89846E698A29}" xr6:coauthVersionLast="47" xr6:coauthVersionMax="47" xr10:uidLastSave="{0BE34305-95BA-4BD8-AC41-15BD0E95AEF8}"/>
  <bookViews>
    <workbookView xWindow="-120" yWindow="-120" windowWidth="29040" windowHeight="15720" activeTab="1" xr2:uid="{09555BD2-5FC2-47DE-B94B-6739E979BF31}"/>
  </bookViews>
  <sheets>
    <sheet name="Instances properties" sheetId="4" r:id="rId1"/>
    <sheet name="MAB independent arms" sheetId="3" r:id="rId2"/>
    <sheet name="Complete, interval, random" sheetId="1" r:id="rId3"/>
    <sheet name="Real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4" l="1" a="1"/>
  <c r="P2" i="4" s="1"/>
  <c r="T92" i="3" l="1"/>
  <c r="T91" i="3"/>
  <c r="R92" i="3"/>
  <c r="R91" i="3"/>
  <c r="R90" i="3"/>
  <c r="R79" i="3"/>
  <c r="R52" i="3"/>
  <c r="R25" i="3"/>
  <c r="U90" i="3"/>
  <c r="T90" i="3"/>
  <c r="S90" i="3"/>
  <c r="B4" i="3"/>
  <c r="N4" i="3" s="1"/>
  <c r="B5" i="3"/>
  <c r="B6" i="3"/>
  <c r="N6" i="3" s="1"/>
  <c r="B7" i="3"/>
  <c r="N7" i="3" s="1"/>
  <c r="B8" i="3"/>
  <c r="H8" i="3" s="1"/>
  <c r="B9" i="3"/>
  <c r="H9" i="3" s="1"/>
  <c r="B10" i="3"/>
  <c r="B11" i="3"/>
  <c r="N11" i="3" s="1"/>
  <c r="B12" i="3"/>
  <c r="N12" i="3" s="1"/>
  <c r="B13" i="3"/>
  <c r="B14" i="3"/>
  <c r="H14" i="3" s="1"/>
  <c r="B15" i="3"/>
  <c r="N15" i="3" s="1"/>
  <c r="B16" i="3"/>
  <c r="K16" i="3" s="1"/>
  <c r="B17" i="3"/>
  <c r="H17" i="3" s="1"/>
  <c r="B18" i="3"/>
  <c r="B19" i="3"/>
  <c r="N19" i="3" s="1"/>
  <c r="B20" i="3"/>
  <c r="B21" i="3"/>
  <c r="B22" i="3"/>
  <c r="H22" i="3" s="1"/>
  <c r="B23" i="3"/>
  <c r="N23" i="3" s="1"/>
  <c r="B24" i="3"/>
  <c r="H24" i="3" s="1"/>
  <c r="B25" i="3"/>
  <c r="K25" i="3" s="1"/>
  <c r="B26" i="3"/>
  <c r="H26" i="3" s="1"/>
  <c r="B27" i="3"/>
  <c r="B28" i="3"/>
  <c r="K28" i="3" s="1"/>
  <c r="B29" i="3"/>
  <c r="E29" i="3" s="1"/>
  <c r="B30" i="3"/>
  <c r="B31" i="3"/>
  <c r="N31" i="3" s="1"/>
  <c r="B32" i="3"/>
  <c r="K32" i="3" s="1"/>
  <c r="B33" i="3"/>
  <c r="B34" i="3"/>
  <c r="H34" i="3" s="1"/>
  <c r="B35" i="3"/>
  <c r="N35" i="3" s="1"/>
  <c r="B36" i="3"/>
  <c r="E36" i="3" s="1"/>
  <c r="B37" i="3"/>
  <c r="N37" i="3" s="1"/>
  <c r="B38" i="3"/>
  <c r="E38" i="3" s="1"/>
  <c r="B39" i="3"/>
  <c r="N39" i="3" s="1"/>
  <c r="B40" i="3"/>
  <c r="K40" i="3" s="1"/>
  <c r="B41" i="3"/>
  <c r="B42" i="3"/>
  <c r="H42" i="3" s="1"/>
  <c r="B43" i="3"/>
  <c r="N43" i="3" s="1"/>
  <c r="B44" i="3"/>
  <c r="N44" i="3" s="1"/>
  <c r="B45" i="3"/>
  <c r="N45" i="3" s="1"/>
  <c r="B46" i="3"/>
  <c r="E46" i="3" s="1"/>
  <c r="B47" i="3"/>
  <c r="N47" i="3" s="1"/>
  <c r="B48" i="3"/>
  <c r="K48" i="3" s="1"/>
  <c r="B49" i="3"/>
  <c r="B50" i="3"/>
  <c r="H50" i="3" s="1"/>
  <c r="B51" i="3"/>
  <c r="N51" i="3" s="1"/>
  <c r="B52" i="3"/>
  <c r="H52" i="3" s="1"/>
  <c r="B53" i="3"/>
  <c r="N53" i="3" s="1"/>
  <c r="B54" i="3"/>
  <c r="E54" i="3" s="1"/>
  <c r="B55" i="3"/>
  <c r="H55" i="3" s="1"/>
  <c r="B56" i="3"/>
  <c r="H56" i="3" s="1"/>
  <c r="B57" i="3"/>
  <c r="H57" i="3" s="1"/>
  <c r="B58" i="3"/>
  <c r="B59" i="3"/>
  <c r="N59" i="3" s="1"/>
  <c r="B60" i="3"/>
  <c r="H60" i="3" s="1"/>
  <c r="B61" i="3"/>
  <c r="B62" i="3"/>
  <c r="K62" i="3" s="1"/>
  <c r="B63" i="3"/>
  <c r="N63" i="3" s="1"/>
  <c r="B64" i="3"/>
  <c r="K64" i="3" s="1"/>
  <c r="B65" i="3"/>
  <c r="K65" i="3" s="1"/>
  <c r="B66" i="3"/>
  <c r="B67" i="3"/>
  <c r="N67" i="3" s="1"/>
  <c r="B68" i="3"/>
  <c r="N68" i="3" s="1"/>
  <c r="B69" i="3"/>
  <c r="B70" i="3"/>
  <c r="K70" i="3" s="1"/>
  <c r="B71" i="3"/>
  <c r="N71" i="3" s="1"/>
  <c r="B72" i="3"/>
  <c r="H72" i="3" s="1"/>
  <c r="B73" i="3"/>
  <c r="N73" i="3" s="1"/>
  <c r="B74" i="3"/>
  <c r="E74" i="3" s="1"/>
  <c r="B75" i="3"/>
  <c r="N75" i="3" s="1"/>
  <c r="B76" i="3"/>
  <c r="N76" i="3" s="1"/>
  <c r="B77" i="3"/>
  <c r="B78" i="3"/>
  <c r="H78" i="3" s="1"/>
  <c r="B79" i="3"/>
  <c r="N79" i="3" s="1"/>
  <c r="B80" i="3"/>
  <c r="H80" i="3" s="1"/>
  <c r="B81" i="3"/>
  <c r="N81" i="3" s="1"/>
  <c r="B82" i="3"/>
  <c r="N82" i="3" s="1"/>
  <c r="B83" i="3"/>
  <c r="E83" i="3" s="1"/>
  <c r="B3" i="3"/>
  <c r="N3" i="3" s="1"/>
  <c r="L86" i="3"/>
  <c r="I86" i="3"/>
  <c r="F86" i="3"/>
  <c r="C86" i="3"/>
  <c r="M84" i="3"/>
  <c r="U92" i="3" s="1"/>
  <c r="L84" i="3"/>
  <c r="U91" i="3" s="1"/>
  <c r="J84" i="3"/>
  <c r="I84" i="3"/>
  <c r="G84" i="3"/>
  <c r="S92" i="3" s="1"/>
  <c r="F84" i="3"/>
  <c r="S91" i="3" s="1"/>
  <c r="D84" i="3"/>
  <c r="C84" i="3"/>
  <c r="U81" i="3"/>
  <c r="T81" i="3"/>
  <c r="S81" i="3"/>
  <c r="R81" i="3"/>
  <c r="U80" i="3"/>
  <c r="T80" i="3"/>
  <c r="S80" i="3"/>
  <c r="R80" i="3"/>
  <c r="U79" i="3"/>
  <c r="T79" i="3"/>
  <c r="S79" i="3"/>
  <c r="U54" i="3"/>
  <c r="T54" i="3"/>
  <c r="S54" i="3"/>
  <c r="R54" i="3"/>
  <c r="U53" i="3"/>
  <c r="T53" i="3"/>
  <c r="S53" i="3"/>
  <c r="R53" i="3"/>
  <c r="U52" i="3"/>
  <c r="T52" i="3"/>
  <c r="S52" i="3"/>
  <c r="U27" i="3"/>
  <c r="T27" i="3"/>
  <c r="S27" i="3"/>
  <c r="R27" i="3"/>
  <c r="U26" i="3"/>
  <c r="T26" i="3"/>
  <c r="S26" i="3"/>
  <c r="R26" i="3"/>
  <c r="U25" i="3"/>
  <c r="T25" i="3"/>
  <c r="S25" i="3"/>
  <c r="L16" i="2"/>
  <c r="L15" i="2"/>
  <c r="L14" i="2"/>
  <c r="L13" i="2"/>
  <c r="K16" i="2"/>
  <c r="K15" i="2"/>
  <c r="K14" i="2"/>
  <c r="K13" i="2"/>
  <c r="L12" i="2"/>
  <c r="K12" i="2"/>
  <c r="C20" i="2"/>
  <c r="F20" i="2"/>
  <c r="H18" i="2"/>
  <c r="G17" i="2"/>
  <c r="F17" i="2"/>
  <c r="D17" i="2"/>
  <c r="C17" i="2"/>
  <c r="B16" i="2"/>
  <c r="H16" i="2" s="1"/>
  <c r="B15" i="2"/>
  <c r="H15" i="2" s="1"/>
  <c r="H14" i="2"/>
  <c r="B14" i="2"/>
  <c r="E14" i="2" s="1"/>
  <c r="B13" i="2"/>
  <c r="E13" i="2" s="1"/>
  <c r="B12" i="2"/>
  <c r="H12" i="2" s="1"/>
  <c r="B11" i="2"/>
  <c r="H11" i="2" s="1"/>
  <c r="B10" i="2"/>
  <c r="H10" i="2" s="1"/>
  <c r="H9" i="2"/>
  <c r="E9" i="2"/>
  <c r="B9" i="2"/>
  <c r="B8" i="2"/>
  <c r="H8" i="2" s="1"/>
  <c r="B7" i="2"/>
  <c r="H7" i="2" s="1"/>
  <c r="B6" i="2"/>
  <c r="E6" i="2" s="1"/>
  <c r="B5" i="2"/>
  <c r="H5" i="2" s="1"/>
  <c r="B4" i="2"/>
  <c r="E4" i="2" s="1"/>
  <c r="B3" i="2"/>
  <c r="H3" i="2" s="1"/>
  <c r="L353" i="1"/>
  <c r="L352" i="1"/>
  <c r="L351" i="1"/>
  <c r="L350" i="1"/>
  <c r="K353" i="1"/>
  <c r="K352" i="1"/>
  <c r="K351" i="1"/>
  <c r="K350" i="1"/>
  <c r="L349" i="1"/>
  <c r="K349" i="1"/>
  <c r="F348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E39" i="1"/>
  <c r="E40" i="1"/>
  <c r="E41" i="1"/>
  <c r="E345" i="1" s="1"/>
  <c r="E42" i="1"/>
  <c r="E43" i="1"/>
  <c r="E44" i="1"/>
  <c r="E45" i="1"/>
  <c r="E46" i="1"/>
  <c r="E47" i="1"/>
  <c r="E346" i="1" s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G345" i="1"/>
  <c r="F345" i="1"/>
  <c r="D345" i="1"/>
  <c r="C345" i="1"/>
  <c r="B344" i="1"/>
  <c r="B343" i="1"/>
  <c r="L342" i="1"/>
  <c r="K342" i="1"/>
  <c r="B342" i="1"/>
  <c r="L341" i="1"/>
  <c r="K341" i="1"/>
  <c r="B341" i="1"/>
  <c r="L340" i="1"/>
  <c r="K340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L225" i="1"/>
  <c r="K225" i="1"/>
  <c r="B225" i="1"/>
  <c r="L224" i="1"/>
  <c r="K224" i="1"/>
  <c r="B224" i="1"/>
  <c r="L223" i="1"/>
  <c r="K223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L108" i="1"/>
  <c r="K108" i="1"/>
  <c r="B108" i="1"/>
  <c r="L107" i="1"/>
  <c r="K107" i="1"/>
  <c r="B107" i="1"/>
  <c r="L106" i="1"/>
  <c r="K106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H30" i="1"/>
  <c r="B30" i="1"/>
  <c r="B29" i="1"/>
  <c r="B28" i="1"/>
  <c r="B27" i="1"/>
  <c r="B26" i="1"/>
  <c r="B25" i="1"/>
  <c r="H24" i="1"/>
  <c r="E24" i="1"/>
  <c r="B24" i="1"/>
  <c r="B23" i="1"/>
  <c r="E23" i="1" s="1"/>
  <c r="B22" i="1"/>
  <c r="B21" i="1"/>
  <c r="H20" i="1"/>
  <c r="B20" i="1"/>
  <c r="E20" i="1" s="1"/>
  <c r="B19" i="1"/>
  <c r="B18" i="1"/>
  <c r="B17" i="1"/>
  <c r="B16" i="1"/>
  <c r="B15" i="1"/>
  <c r="H14" i="1"/>
  <c r="B14" i="1"/>
  <c r="B13" i="1"/>
  <c r="H13" i="1" s="1"/>
  <c r="B12" i="1"/>
  <c r="H11" i="1"/>
  <c r="E11" i="1"/>
  <c r="B11" i="1"/>
  <c r="B10" i="1"/>
  <c r="H10" i="1" s="1"/>
  <c r="B9" i="1"/>
  <c r="H9" i="1" s="1"/>
  <c r="B8" i="1"/>
  <c r="H8" i="1" s="1"/>
  <c r="B7" i="1"/>
  <c r="H7" i="1" s="1"/>
  <c r="B6" i="1"/>
  <c r="B5" i="1"/>
  <c r="H4" i="1"/>
  <c r="B4" i="1"/>
  <c r="E4" i="1" s="1"/>
  <c r="B3" i="1"/>
  <c r="H3" i="1" s="1"/>
  <c r="H23" i="3" l="1"/>
  <c r="K23" i="3"/>
  <c r="E56" i="3"/>
  <c r="H70" i="3"/>
  <c r="E73" i="3"/>
  <c r="H73" i="3"/>
  <c r="K73" i="3"/>
  <c r="H83" i="3"/>
  <c r="H6" i="3"/>
  <c r="K6" i="3"/>
  <c r="K83" i="3"/>
  <c r="N83" i="3"/>
  <c r="H62" i="3"/>
  <c r="K45" i="3"/>
  <c r="N28" i="3"/>
  <c r="H45" i="3"/>
  <c r="E25" i="3"/>
  <c r="K50" i="3"/>
  <c r="H25" i="3"/>
  <c r="N50" i="3"/>
  <c r="N17" i="3"/>
  <c r="N42" i="3"/>
  <c r="K54" i="3"/>
  <c r="K34" i="3"/>
  <c r="H51" i="3"/>
  <c r="N9" i="3"/>
  <c r="N34" i="3"/>
  <c r="K51" i="3"/>
  <c r="E28" i="3"/>
  <c r="K60" i="3"/>
  <c r="K78" i="3"/>
  <c r="K57" i="3"/>
  <c r="E9" i="3"/>
  <c r="H54" i="3"/>
  <c r="K9" i="3"/>
  <c r="N25" i="3"/>
  <c r="N54" i="3"/>
  <c r="H28" i="3"/>
  <c r="E45" i="3"/>
  <c r="N60" i="3"/>
  <c r="N78" i="3"/>
  <c r="H65" i="3"/>
  <c r="K17" i="3"/>
  <c r="E32" i="3"/>
  <c r="E65" i="3"/>
  <c r="N57" i="3"/>
  <c r="K22" i="3"/>
  <c r="E37" i="3"/>
  <c r="N70" i="3"/>
  <c r="E17" i="3"/>
  <c r="E57" i="3"/>
  <c r="N32" i="3"/>
  <c r="N65" i="3"/>
  <c r="K14" i="3"/>
  <c r="K37" i="3"/>
  <c r="N62" i="3"/>
  <c r="K80" i="3"/>
  <c r="H32" i="3"/>
  <c r="N80" i="3"/>
  <c r="K42" i="3"/>
  <c r="N22" i="3"/>
  <c r="H37" i="3"/>
  <c r="N14" i="3"/>
  <c r="E23" i="3"/>
  <c r="K66" i="3"/>
  <c r="H66" i="3"/>
  <c r="N66" i="3"/>
  <c r="E71" i="3"/>
  <c r="E76" i="3"/>
  <c r="H71" i="3"/>
  <c r="K4" i="3"/>
  <c r="K27" i="3"/>
  <c r="N27" i="3"/>
  <c r="K76" i="3"/>
  <c r="K82" i="3"/>
  <c r="K10" i="3"/>
  <c r="N10" i="3"/>
  <c r="H10" i="3"/>
  <c r="E15" i="3"/>
  <c r="E20" i="3"/>
  <c r="H48" i="3"/>
  <c r="H20" i="3"/>
  <c r="H27" i="3"/>
  <c r="N58" i="3"/>
  <c r="K58" i="3"/>
  <c r="H58" i="3"/>
  <c r="E68" i="3"/>
  <c r="N20" i="3"/>
  <c r="H53" i="3"/>
  <c r="N18" i="3"/>
  <c r="H18" i="3"/>
  <c r="K18" i="3"/>
  <c r="E4" i="3"/>
  <c r="E18" i="3"/>
  <c r="K61" i="3"/>
  <c r="N61" i="3"/>
  <c r="H61" i="3"/>
  <c r="E61" i="3"/>
  <c r="H76" i="3"/>
  <c r="E66" i="3"/>
  <c r="H82" i="3"/>
  <c r="N38" i="3"/>
  <c r="H38" i="3"/>
  <c r="K38" i="3"/>
  <c r="E48" i="3"/>
  <c r="N5" i="3"/>
  <c r="K5" i="3"/>
  <c r="H5" i="3"/>
  <c r="E5" i="3"/>
  <c r="H43" i="3"/>
  <c r="H15" i="3"/>
  <c r="K43" i="3"/>
  <c r="E10" i="3"/>
  <c r="K20" i="3"/>
  <c r="N48" i="3"/>
  <c r="E63" i="3"/>
  <c r="N49" i="3"/>
  <c r="H49" i="3"/>
  <c r="E49" i="3"/>
  <c r="K49" i="3"/>
  <c r="E53" i="3"/>
  <c r="H63" i="3"/>
  <c r="H68" i="3"/>
  <c r="N21" i="3"/>
  <c r="K21" i="3"/>
  <c r="H21" i="3"/>
  <c r="E21" i="3"/>
  <c r="E58" i="3"/>
  <c r="K63" i="3"/>
  <c r="K68" i="3"/>
  <c r="K30" i="3"/>
  <c r="H30" i="3"/>
  <c r="N30" i="3"/>
  <c r="E35" i="3"/>
  <c r="E40" i="3"/>
  <c r="K53" i="3"/>
  <c r="H35" i="3"/>
  <c r="H69" i="3"/>
  <c r="N69" i="3"/>
  <c r="K69" i="3"/>
  <c r="E69" i="3"/>
  <c r="K7" i="3"/>
  <c r="N40" i="3"/>
  <c r="K56" i="3"/>
  <c r="N56" i="3"/>
  <c r="E60" i="3"/>
  <c r="K79" i="3"/>
  <c r="N13" i="3"/>
  <c r="K13" i="3"/>
  <c r="H13" i="3"/>
  <c r="E13" i="3"/>
  <c r="H4" i="3"/>
  <c r="E82" i="3"/>
  <c r="K71" i="3"/>
  <c r="N33" i="3"/>
  <c r="K33" i="3"/>
  <c r="H33" i="3"/>
  <c r="E33" i="3"/>
  <c r="E43" i="3"/>
  <c r="E27" i="3"/>
  <c r="N77" i="3"/>
  <c r="H77" i="3"/>
  <c r="K77" i="3"/>
  <c r="E77" i="3"/>
  <c r="K15" i="3"/>
  <c r="E7" i="3"/>
  <c r="E12" i="3"/>
  <c r="H40" i="3"/>
  <c r="N74" i="3"/>
  <c r="H74" i="3"/>
  <c r="K74" i="3"/>
  <c r="E79" i="3"/>
  <c r="H7" i="3"/>
  <c r="H12" i="3"/>
  <c r="E30" i="3"/>
  <c r="K35" i="3"/>
  <c r="H79" i="3"/>
  <c r="K12" i="3"/>
  <c r="N41" i="3"/>
  <c r="E41" i="3"/>
  <c r="K41" i="3"/>
  <c r="H41" i="3"/>
  <c r="H46" i="3"/>
  <c r="N46" i="3"/>
  <c r="K46" i="3"/>
  <c r="E51" i="3"/>
  <c r="E44" i="3"/>
  <c r="E72" i="3"/>
  <c r="H16" i="3"/>
  <c r="H36" i="3"/>
  <c r="H44" i="3"/>
  <c r="K8" i="3"/>
  <c r="E11" i="3"/>
  <c r="E19" i="3"/>
  <c r="K24" i="3"/>
  <c r="K26" i="3"/>
  <c r="H29" i="3"/>
  <c r="E31" i="3"/>
  <c r="K36" i="3"/>
  <c r="E39" i="3"/>
  <c r="K44" i="3"/>
  <c r="E47" i="3"/>
  <c r="K52" i="3"/>
  <c r="K55" i="3"/>
  <c r="E59" i="3"/>
  <c r="E75" i="3"/>
  <c r="H3" i="3"/>
  <c r="N8" i="3"/>
  <c r="H11" i="3"/>
  <c r="N16" i="3"/>
  <c r="H19" i="3"/>
  <c r="N24" i="3"/>
  <c r="N26" i="3"/>
  <c r="K29" i="3"/>
  <c r="H31" i="3"/>
  <c r="N36" i="3"/>
  <c r="H39" i="3"/>
  <c r="H47" i="3"/>
  <c r="N52" i="3"/>
  <c r="N55" i="3"/>
  <c r="H59" i="3"/>
  <c r="N64" i="3"/>
  <c r="H67" i="3"/>
  <c r="N72" i="3"/>
  <c r="H75" i="3"/>
  <c r="E16" i="3"/>
  <c r="E24" i="3"/>
  <c r="E52" i="3"/>
  <c r="E64" i="3"/>
  <c r="H64" i="3"/>
  <c r="K81" i="3"/>
  <c r="E67" i="3"/>
  <c r="K72" i="3"/>
  <c r="K3" i="3"/>
  <c r="E6" i="3"/>
  <c r="K11" i="3"/>
  <c r="E14" i="3"/>
  <c r="K19" i="3"/>
  <c r="E22" i="3"/>
  <c r="N29" i="3"/>
  <c r="K31" i="3"/>
  <c r="E34" i="3"/>
  <c r="K39" i="3"/>
  <c r="E42" i="3"/>
  <c r="K47" i="3"/>
  <c r="E50" i="3"/>
  <c r="K59" i="3"/>
  <c r="E62" i="3"/>
  <c r="K67" i="3"/>
  <c r="E70" i="3"/>
  <c r="K75" i="3"/>
  <c r="E78" i="3"/>
  <c r="E80" i="3"/>
  <c r="E81" i="3"/>
  <c r="E8" i="3"/>
  <c r="E26" i="3"/>
  <c r="E55" i="3"/>
  <c r="H81" i="3"/>
  <c r="E3" i="3"/>
  <c r="H4" i="2"/>
  <c r="E5" i="2"/>
  <c r="E11" i="2"/>
  <c r="H6" i="2"/>
  <c r="E7" i="2"/>
  <c r="H13" i="2"/>
  <c r="E10" i="2"/>
  <c r="E16" i="2"/>
  <c r="E12" i="2"/>
  <c r="E8" i="2"/>
  <c r="E3" i="2"/>
  <c r="E15" i="2"/>
  <c r="H15" i="1"/>
  <c r="E15" i="1"/>
  <c r="H6" i="1"/>
  <c r="E6" i="1"/>
  <c r="H26" i="1"/>
  <c r="H27" i="1"/>
  <c r="E27" i="1"/>
  <c r="H5" i="1"/>
  <c r="L110" i="1" s="1"/>
  <c r="E5" i="1"/>
  <c r="E26" i="1"/>
  <c r="H21" i="1"/>
  <c r="E21" i="1"/>
  <c r="E14" i="1"/>
  <c r="E34" i="1"/>
  <c r="E8" i="1"/>
  <c r="E16" i="1"/>
  <c r="H22" i="1"/>
  <c r="H345" i="1" s="1"/>
  <c r="E22" i="1"/>
  <c r="E29" i="1"/>
  <c r="E35" i="1"/>
  <c r="H16" i="1"/>
  <c r="H29" i="1"/>
  <c r="E9" i="1"/>
  <c r="E36" i="1"/>
  <c r="H17" i="1"/>
  <c r="E10" i="1"/>
  <c r="E17" i="1"/>
  <c r="E30" i="1"/>
  <c r="E37" i="1"/>
  <c r="H19" i="1"/>
  <c r="E3" i="1"/>
  <c r="E19" i="1"/>
  <c r="E25" i="1"/>
  <c r="E31" i="1"/>
  <c r="E12" i="1"/>
  <c r="H12" i="1"/>
  <c r="H25" i="1"/>
  <c r="E32" i="1"/>
  <c r="L226" i="1"/>
  <c r="E7" i="1"/>
  <c r="E13" i="1"/>
  <c r="H28" i="1"/>
  <c r="E33" i="1"/>
  <c r="H23" i="1"/>
  <c r="E28" i="1"/>
  <c r="E18" i="1"/>
  <c r="H18" i="1"/>
  <c r="E38" i="1"/>
  <c r="U28" i="3" l="1"/>
  <c r="S82" i="3"/>
  <c r="R83" i="3"/>
  <c r="U29" i="3"/>
  <c r="N85" i="3"/>
  <c r="U94" i="3" s="1"/>
  <c r="T82" i="3"/>
  <c r="U82" i="3"/>
  <c r="R82" i="3"/>
  <c r="U56" i="3"/>
  <c r="U55" i="3"/>
  <c r="K85" i="3"/>
  <c r="T94" i="3" s="1"/>
  <c r="T28" i="3"/>
  <c r="T29" i="3"/>
  <c r="K84" i="3"/>
  <c r="T93" i="3" s="1"/>
  <c r="S56" i="3"/>
  <c r="S55" i="3"/>
  <c r="U83" i="3"/>
  <c r="S83" i="3"/>
  <c r="R55" i="3"/>
  <c r="R56" i="3"/>
  <c r="T83" i="3"/>
  <c r="E85" i="3"/>
  <c r="R94" i="3" s="1"/>
  <c r="E84" i="3"/>
  <c r="R93" i="3" s="1"/>
  <c r="R29" i="3"/>
  <c r="R28" i="3"/>
  <c r="N84" i="3"/>
  <c r="U93" i="3" s="1"/>
  <c r="T56" i="3"/>
  <c r="T55" i="3"/>
  <c r="H85" i="3"/>
  <c r="S94" i="3" s="1"/>
  <c r="H84" i="3"/>
  <c r="S93" i="3" s="1"/>
  <c r="S28" i="3"/>
  <c r="S29" i="3"/>
  <c r="E18" i="2"/>
  <c r="E17" i="2"/>
  <c r="H17" i="2"/>
  <c r="K343" i="1"/>
  <c r="K344" i="1"/>
  <c r="L344" i="1"/>
  <c r="L343" i="1"/>
  <c r="L227" i="1"/>
  <c r="H346" i="1"/>
  <c r="K226" i="1"/>
  <c r="K227" i="1"/>
  <c r="L109" i="1"/>
  <c r="K110" i="1"/>
  <c r="K10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<sst xmlns="http://schemas.openxmlformats.org/spreadsheetml/2006/main" count="1464" uniqueCount="745">
  <si>
    <t>UCB1</t>
  </si>
  <si>
    <t>Instancia</t>
  </si>
  <si>
    <t>Vmin</t>
  </si>
  <si>
    <t>Error</t>
  </si>
  <si>
    <t>Cpu T.</t>
  </si>
  <si>
    <t>Desv</t>
  </si>
  <si>
    <t>Complete-001_10x45_100_20</t>
  </si>
  <si>
    <t>Complete-002_10x45_100_50</t>
  </si>
  <si>
    <t>Complete-003_10x45_100_80</t>
  </si>
  <si>
    <t>Complete-004_10x45_100_20</t>
  </si>
  <si>
    <t>Complete-005_10x45_100_50</t>
  </si>
  <si>
    <t>Complete-006_10x45_100_80</t>
  </si>
  <si>
    <t>Complete-007_10x45_100_20</t>
  </si>
  <si>
    <t>Complete-008_10x45_100_50</t>
  </si>
  <si>
    <t>Complete-009_10x45_100_80</t>
  </si>
  <si>
    <t>Complete-010_30x435_100_20</t>
  </si>
  <si>
    <t>Complete-011_30x435_100_50</t>
  </si>
  <si>
    <t>Complete-012_30x435_100_80</t>
  </si>
  <si>
    <t>Complete-013_30x435_100_20</t>
  </si>
  <si>
    <t>Complete-014_30x435_100_50</t>
  </si>
  <si>
    <t>Complete-015_30x435_100_80</t>
  </si>
  <si>
    <t>Complete-016_30x435_100_20</t>
  </si>
  <si>
    <t>Complete-017_30x435_100_50</t>
  </si>
  <si>
    <t>Complete-018_30x435_100_80</t>
  </si>
  <si>
    <t>Complete-019_50x1225_100_20</t>
  </si>
  <si>
    <t>Complete-020_50x1225_100_50</t>
  </si>
  <si>
    <t>Complete-021_50x1225_100_80</t>
  </si>
  <si>
    <t>Complete-022_50x1225_100_20</t>
  </si>
  <si>
    <t>Complete-023_50x1225_100_50</t>
  </si>
  <si>
    <t>Complete-024_50x1225_100_80</t>
  </si>
  <si>
    <t>Complete-025_50x1225_100_20</t>
  </si>
  <si>
    <t>Complete-026_50x1225_100_50</t>
  </si>
  <si>
    <t>Complete-027_50x1225_100_80</t>
  </si>
  <si>
    <t>Complete-028_70x2415_100_20</t>
  </si>
  <si>
    <t>Complete-029_70x2415_100_50</t>
  </si>
  <si>
    <t>Complete-030_70x2415_100_80</t>
  </si>
  <si>
    <t>Complete-031_70x2415_100_20</t>
  </si>
  <si>
    <t>Complete-032_70x2415_100_50</t>
  </si>
  <si>
    <t>Complete-033_70x2415_100_80</t>
  </si>
  <si>
    <t>Complete-034_70x2415_100_20</t>
  </si>
  <si>
    <t>Complete-035_70x2415_100_50</t>
  </si>
  <si>
    <t>Complete-036_70x2415_100_80</t>
  </si>
  <si>
    <t>Complete-037_90x4005_100_20</t>
  </si>
  <si>
    <t>Complete-038_90x4005_100_50</t>
  </si>
  <si>
    <t>Complete-039_90x4005_100_80</t>
  </si>
  <si>
    <t>Complete-040_90x4005_100_20</t>
  </si>
  <si>
    <t>Complete-041_90x4005_100_50</t>
  </si>
  <si>
    <t>Complete-042_90x4005_100_80</t>
  </si>
  <si>
    <t>Complete-043_90x4005_100_20</t>
  </si>
  <si>
    <t>Complete-044_90x4005_100_50</t>
  </si>
  <si>
    <t>Complete-045_90x4005_100_80</t>
  </si>
  <si>
    <t>Complete-046_110x5995_100_20</t>
  </si>
  <si>
    <t>Complete-047_110x5995_100_50</t>
  </si>
  <si>
    <t>Complete-048_110x5995_100_80</t>
  </si>
  <si>
    <t>Complete-049_110x5995_100_20</t>
  </si>
  <si>
    <t>Complete-050_110x5995_100_50</t>
  </si>
  <si>
    <t>Complete-051_110x5995_100_80</t>
  </si>
  <si>
    <t>Complete-052_110x5995_100_20</t>
  </si>
  <si>
    <t>Complete-053_110x5995_100_50</t>
  </si>
  <si>
    <t>Complete-054_110x5995_100_80</t>
  </si>
  <si>
    <t>Complete-055_130x8385_100_20</t>
  </si>
  <si>
    <t>Complete-056_130x8385_100_50</t>
  </si>
  <si>
    <t>Complete-057_130x8385_100_80</t>
  </si>
  <si>
    <t>Complete-058_130x8385_100_20</t>
  </si>
  <si>
    <t>Complete-059_130x8385_100_50</t>
  </si>
  <si>
    <t>Complete-060_130x8385_100_80</t>
  </si>
  <si>
    <t>Complete-061_130x8385_100_20</t>
  </si>
  <si>
    <t>Complete-062_130x8385_100_50</t>
  </si>
  <si>
    <t>Complete-063_130x8385_100_80</t>
  </si>
  <si>
    <t>Complete-064_150x11175_100_20</t>
  </si>
  <si>
    <t>Complete-065_150x11175_100_50</t>
  </si>
  <si>
    <t>Complete-066_150x11175_100_80</t>
  </si>
  <si>
    <t>Complete-067_150x11175_100_20</t>
  </si>
  <si>
    <t>Complete-068_150x11175_100_50</t>
  </si>
  <si>
    <t>Complete-069_150x11175_100_80</t>
  </si>
  <si>
    <t>Complete-070_150x11175_100_20</t>
  </si>
  <si>
    <t>Complete-071_150x11175_100_50</t>
  </si>
  <si>
    <t>Complete-072_150x11175_100_80</t>
  </si>
  <si>
    <t>Complete-073_170x14365_100_20</t>
  </si>
  <si>
    <t>Complete-074_170x14365_100_50</t>
  </si>
  <si>
    <t>Complete-075_170x14365_100_80</t>
  </si>
  <si>
    <t>Complete-076_170x14365_100_20</t>
  </si>
  <si>
    <t>Complete-077_170x14365_100_50</t>
  </si>
  <si>
    <t>Complete-078_170x14365_100_80</t>
  </si>
  <si>
    <t>Complete-079_170x14365_100_20</t>
  </si>
  <si>
    <t>Complete-080_170x14365_100_50</t>
  </si>
  <si>
    <t>Complete-081_170x14365_100_80</t>
  </si>
  <si>
    <t>Complete-082_190x17955_100_20</t>
  </si>
  <si>
    <t>Complete-083_190x17955_100_50</t>
  </si>
  <si>
    <t>Complete-084_190x17955_100_80</t>
  </si>
  <si>
    <t>Complete-085_190x17955_100_20</t>
  </si>
  <si>
    <t>Complete-086_190x17955_100_50</t>
  </si>
  <si>
    <t>Complete-087_190x17955_100_80</t>
  </si>
  <si>
    <t>Complete-088_190x17955_100_20</t>
  </si>
  <si>
    <t>Complete-089_190x17955_100_50</t>
  </si>
  <si>
    <t>Complete-090_190x17955_100_80</t>
  </si>
  <si>
    <t>Complete-091_210x21945_100_20</t>
  </si>
  <si>
    <t>Complete-092_210x21945_100_50</t>
  </si>
  <si>
    <t>Complete-093_210x21945_100_80</t>
  </si>
  <si>
    <t>Complete-094_210x21945_100_20</t>
  </si>
  <si>
    <t>Complete-095_210x21945_100_50</t>
  </si>
  <si>
    <t>Complete-096_210x21945_100_80</t>
  </si>
  <si>
    <t>Complete-097_210x21945_100_20</t>
  </si>
  <si>
    <t>Complete-098_210x21945_100_50</t>
  </si>
  <si>
    <t>Complete-099_210x21945_100_80</t>
  </si>
  <si>
    <t>Complete-100_230x26335_100_20</t>
  </si>
  <si>
    <t>Complete-101_230x26335_100_50</t>
  </si>
  <si>
    <t>Complete-102_230x26335_100_80</t>
  </si>
  <si>
    <t>Complete-103_230x26335_100_20</t>
  </si>
  <si>
    <t>Complete</t>
  </si>
  <si>
    <t>Complete-104_230x26335_100_50</t>
  </si>
  <si>
    <t>Complete-105_230x26335_100_80</t>
  </si>
  <si>
    <t>Complete-106_230x26335_100_20</t>
  </si>
  <si>
    <t>Complete-107_230x26335_100_50</t>
  </si>
  <si>
    <t>Complete-108_230x26335_100_80</t>
  </si>
  <si>
    <t>#Best</t>
  </si>
  <si>
    <t>Interval-001_10x6_20_20</t>
  </si>
  <si>
    <t>Interval-002_10x8_20_50</t>
  </si>
  <si>
    <t>Interval-003_10x9_20_80</t>
  </si>
  <si>
    <t>Interval-004_10x21_50_20</t>
  </si>
  <si>
    <t>Interval-005_10x25_50_50</t>
  </si>
  <si>
    <t>Interval-006_10x26_50_80</t>
  </si>
  <si>
    <t>Interval-007_10x34_80_20</t>
  </si>
  <si>
    <t>Interval-008_10x35_80_50</t>
  </si>
  <si>
    <t>Interval-009_10x33_80_80</t>
  </si>
  <si>
    <t>Interval-010_30x106_20_20</t>
  </si>
  <si>
    <t>Interval-011_30x85_20_50</t>
  </si>
  <si>
    <t>Interval-012_30x83_20_80</t>
  </si>
  <si>
    <t>Interval-013_30x227_50_20</t>
  </si>
  <si>
    <t>Interval-014_30x216_50_50</t>
  </si>
  <si>
    <t>Interval-015_30x216_50_80</t>
  </si>
  <si>
    <t>Interval-016_30x348_80_20</t>
  </si>
  <si>
    <t>Interval-017_30x345_80_50</t>
  </si>
  <si>
    <t>Interval-018_30x348_80_80</t>
  </si>
  <si>
    <t>Interval-019_50x260_20_20</t>
  </si>
  <si>
    <t>Interval-020_50x235_20_50</t>
  </si>
  <si>
    <t>Interval-021_50x248_20_80</t>
  </si>
  <si>
    <t>Interval-022_50x634_50_20</t>
  </si>
  <si>
    <t>Interval-023_50x609_50_50</t>
  </si>
  <si>
    <t>Interval-024_50x609_50_80</t>
  </si>
  <si>
    <t>Interval-025_50x1014_80_20</t>
  </si>
  <si>
    <t>Interval-026_50x1025_80_50</t>
  </si>
  <si>
    <t>Interval-027_50x967_80_80</t>
  </si>
  <si>
    <t>Interval-028_70x482_20_20</t>
  </si>
  <si>
    <t>Interval-029_70x472_20_50</t>
  </si>
  <si>
    <t>Interval-030_70x496_20_80</t>
  </si>
  <si>
    <t>Interval-031_70x1230_50_20</t>
  </si>
  <si>
    <t>Interval-032_70x1217_50_50</t>
  </si>
  <si>
    <t>Interval-033_70x1220_50_80</t>
  </si>
  <si>
    <t>Interval-034_70x2008_80_20</t>
  </si>
  <si>
    <t>Interval-035_70x1979_80_50</t>
  </si>
  <si>
    <t>Interval-036_70x1938_80_80</t>
  </si>
  <si>
    <t>Interval-037_90x827_20_20</t>
  </si>
  <si>
    <t>Interval-038_90x799_20_50</t>
  </si>
  <si>
    <t>Interval-039_90x816_20_80</t>
  </si>
  <si>
    <t>Interval-040_90x2014_50_20</t>
  </si>
  <si>
    <t>Interval-041_90x2073_50_50</t>
  </si>
  <si>
    <t>Interval-042_90x2106_50_80</t>
  </si>
  <si>
    <t>Interval-043_90x3088_80_20</t>
  </si>
  <si>
    <t>Interval-044_90x3303_80_50</t>
  </si>
  <si>
    <t>Interval-045_90x3226_80_80</t>
  </si>
  <si>
    <t>Interval-046_110x1257_20_20</t>
  </si>
  <si>
    <t>Interval-047_110x1244_20_50</t>
  </si>
  <si>
    <t>Interval-048_110x1212_20_80</t>
  </si>
  <si>
    <t>Interval-049_110x3180_50_20</t>
  </si>
  <si>
    <t>Interval-050_110x3020_50_50</t>
  </si>
  <si>
    <t>Interval-051_110x3016_50_80</t>
  </si>
  <si>
    <t>Interval-052_110x5110_80_20</t>
  </si>
  <si>
    <t>Interval-053_110x4928_80_50</t>
  </si>
  <si>
    <t>Interval-054_110x4844_80_80</t>
  </si>
  <si>
    <t>Interval-055_130x1785_20_20</t>
  </si>
  <si>
    <t>Interval-056_130x1731_20_50</t>
  </si>
  <si>
    <t>Interval-057_130x1727_20_80</t>
  </si>
  <si>
    <t>Interval-058_130x4261_50_20</t>
  </si>
  <si>
    <t>Interval-059_130x4354_50_50</t>
  </si>
  <si>
    <t>Interval-060_130x4240_50_80</t>
  </si>
  <si>
    <t>Interval-061_130x6933_80_20</t>
  </si>
  <si>
    <t>Interval-062_130x6740_80_50</t>
  </si>
  <si>
    <t>Interval-063_130x6733_80_80</t>
  </si>
  <si>
    <t>Interval-064_150x2274_20_20</t>
  </si>
  <si>
    <t>Interval-065_150x2359_20_50</t>
  </si>
  <si>
    <t>Interval-066_150x2237_20_80</t>
  </si>
  <si>
    <t>Interval-067_150x5626_50_20</t>
  </si>
  <si>
    <t>Interval-068_150x5719_50_50</t>
  </si>
  <si>
    <t>Interval-069_150x5626_50_80</t>
  </si>
  <si>
    <t>Interval-070_150x9141_80_20</t>
  </si>
  <si>
    <t>Interval-071_150x8873_80_50</t>
  </si>
  <si>
    <t>Interval-072_150x9103_80_80</t>
  </si>
  <si>
    <t>Interval-073_170x2995_20_20</t>
  </si>
  <si>
    <t>Interval-074_170x2889_20_50</t>
  </si>
  <si>
    <t>Interval-075_170x2923_20_80</t>
  </si>
  <si>
    <t>Interval-076_170x7396_50_20</t>
  </si>
  <si>
    <t>Interval-077_170x7304_50_50</t>
  </si>
  <si>
    <t>Interval-078_170x7275_50_80</t>
  </si>
  <si>
    <t>Interval-079_170x11713_80_20</t>
  </si>
  <si>
    <t>Interval-080_170x12058_80_50</t>
  </si>
  <si>
    <t>Interval-081_170x11714_80_80</t>
  </si>
  <si>
    <t>Interval-082_190x3846_20_20</t>
  </si>
  <si>
    <t>Interval-083_190x3601_20_50</t>
  </si>
  <si>
    <t>Interval-084_190x3617_20_80</t>
  </si>
  <si>
    <t>Interval-085_190x9057_50_20</t>
  </si>
  <si>
    <t>Interval-086_190x9204_50_50</t>
  </si>
  <si>
    <t>Interval-087_190x9112_50_80</t>
  </si>
  <si>
    <t>Interval-088_190x14865_80_20</t>
  </si>
  <si>
    <t>Interval-089_190x14608_80_50</t>
  </si>
  <si>
    <t>Interval-090_190x14527_80_80</t>
  </si>
  <si>
    <t>Interval-091_210x4534_20_20</t>
  </si>
  <si>
    <t>Interval-092_210x4492_20_50</t>
  </si>
  <si>
    <t>Interval-093_210x4415_20_80</t>
  </si>
  <si>
    <t>Interval-094_210x11279_50_20</t>
  </si>
  <si>
    <t>Interval-095_210x11070_50_50</t>
  </si>
  <si>
    <t>Interval-096_210x10995_50_80</t>
  </si>
  <si>
    <t>Interval-097_210x18619_80_20</t>
  </si>
  <si>
    <t>Interval-098_210x17830_80_50</t>
  </si>
  <si>
    <t>Interval-099_210x17734_80_80</t>
  </si>
  <si>
    <t>Interval-100_230x5346_20_20</t>
  </si>
  <si>
    <t>Interval-101_230x5488_20_50</t>
  </si>
  <si>
    <t>Interval-102_230x5304_20_80</t>
  </si>
  <si>
    <t>Interval-103_230x13610_50_20</t>
  </si>
  <si>
    <t>Interval-104_230x13435_50_50</t>
  </si>
  <si>
    <t>Interval-105_230x13250_50_80</t>
  </si>
  <si>
    <t>Interval-106_230x22043_80_20</t>
  </si>
  <si>
    <t>Interval-107_230x21418_80_50</t>
  </si>
  <si>
    <t>Interval-108_230x21241_80_80</t>
  </si>
  <si>
    <t>Interval-109_250x6488_20_20</t>
  </si>
  <si>
    <t>Interval-110_250x6389_20_50</t>
  </si>
  <si>
    <t>Interval-111_250x6228_20_80</t>
  </si>
  <si>
    <t>Interval-112_250x15967_50_20</t>
  </si>
  <si>
    <t>Interval</t>
  </si>
  <si>
    <t>Interval-113_250x15815_50_50</t>
  </si>
  <si>
    <t>Interval-114_250x15729_50_80</t>
  </si>
  <si>
    <t>Interval-115_250x26281_80_20</t>
  </si>
  <si>
    <t>Interval-116_250x25484_80_50</t>
  </si>
  <si>
    <t>Interval-117_250x25193_80_80</t>
  </si>
  <si>
    <t>Random-001_10x9_20_20</t>
  </si>
  <si>
    <t>Random-002_10x9_20_50</t>
  </si>
  <si>
    <t>Random-003_10x9_20_80</t>
  </si>
  <si>
    <t>Random-004_10x22_50_20</t>
  </si>
  <si>
    <t>Random-005_10x22_50_50</t>
  </si>
  <si>
    <t>Random-006_10x22_50_80</t>
  </si>
  <si>
    <t>Random-007_10x36_80_20</t>
  </si>
  <si>
    <t>Random-008_10x36_80_50</t>
  </si>
  <si>
    <t>Random-009_10x36_80_80</t>
  </si>
  <si>
    <t>Random-010_30x87_20_20</t>
  </si>
  <si>
    <t>Random-011_30x87_20_50</t>
  </si>
  <si>
    <t>Random-012_30x87_20_80</t>
  </si>
  <si>
    <t>Random-013_30x217_50_20</t>
  </si>
  <si>
    <t>Random-014_30x217_50_50</t>
  </si>
  <si>
    <t>Random-015_30x217_50_80</t>
  </si>
  <si>
    <t>Random-016_30x348_80_20</t>
  </si>
  <si>
    <t>Random-017_30x348_80_50</t>
  </si>
  <si>
    <t>Random-018_30x348_80_80</t>
  </si>
  <si>
    <t>Random-019_50x245_20_20</t>
  </si>
  <si>
    <t>Random-020_50x245_20_50</t>
  </si>
  <si>
    <t>Random-021_50x245_20_80</t>
  </si>
  <si>
    <t>Random-022_50x612_50_20</t>
  </si>
  <si>
    <t>Random-023_50x612_50_50</t>
  </si>
  <si>
    <t>Random-024_50x612_50_80</t>
  </si>
  <si>
    <t>Random-025_50x980_80_20</t>
  </si>
  <si>
    <t>Random-026_50x980_80_50</t>
  </si>
  <si>
    <t>Random-027_50x980_80_80</t>
  </si>
  <si>
    <t>Random-028_70x483_20_20</t>
  </si>
  <si>
    <t>Random-029_70x483_20_50</t>
  </si>
  <si>
    <t>Random-030_70x483_20_80</t>
  </si>
  <si>
    <t>Random-031_70x1207_50_20</t>
  </si>
  <si>
    <t>Random-032_70x1207_50_50</t>
  </si>
  <si>
    <t>Random-033_70x1207_50_80</t>
  </si>
  <si>
    <t>Random-034_70x1932_80_20</t>
  </si>
  <si>
    <t>Random-035_70x1932_80_50</t>
  </si>
  <si>
    <t>Random-036_70x1932_80_80</t>
  </si>
  <si>
    <t>Random-037_90x801_20_20</t>
  </si>
  <si>
    <t>Random-038_90x801_20_50</t>
  </si>
  <si>
    <t>Random-039_90x801_20_80</t>
  </si>
  <si>
    <t>Random-040_90x2002_50_20</t>
  </si>
  <si>
    <t>Random-041_90x2002_50_50</t>
  </si>
  <si>
    <t>Random-042_90x2002_50_80</t>
  </si>
  <si>
    <t>Random-043_90x3204_80_20</t>
  </si>
  <si>
    <t>Random-044_90x3204_80_50</t>
  </si>
  <si>
    <t>Random-045_90x3204_80_80</t>
  </si>
  <si>
    <t>Random-046_110x1199_20_20</t>
  </si>
  <si>
    <t>Random-047_110x1199_20_50</t>
  </si>
  <si>
    <t>Random-048_110x1199_20_80</t>
  </si>
  <si>
    <t>Random-049_110x2997_50_20</t>
  </si>
  <si>
    <t>Random-050_110x2997_50_50</t>
  </si>
  <si>
    <t>Random-051_110x2997_50_80</t>
  </si>
  <si>
    <t>Random-052_110x4796_80_20</t>
  </si>
  <si>
    <t>Random-053_110x4796_80_50</t>
  </si>
  <si>
    <t>Random-054_110x4796_80_80</t>
  </si>
  <si>
    <t>Random-055_130x1677_20_20</t>
  </si>
  <si>
    <t>Random-056_130x1677_20_50</t>
  </si>
  <si>
    <t>Random-057_130x1677_20_80</t>
  </si>
  <si>
    <t>Random-058_130x4192_50_20</t>
  </si>
  <si>
    <t>Random-059_130x4192_50_50</t>
  </si>
  <si>
    <t>Random-060_130x4192_50_80</t>
  </si>
  <si>
    <t>Random-061_130x6708_80_20</t>
  </si>
  <si>
    <t>Random-062_130x6708_80_50</t>
  </si>
  <si>
    <t>Random-063_130x6708_80_80</t>
  </si>
  <si>
    <t>Random-064_150x2235_20_20</t>
  </si>
  <si>
    <t>Random-065_150x2235_20_50</t>
  </si>
  <si>
    <t>Random-066_150x2235_20_80</t>
  </si>
  <si>
    <t>Random-067_150x5587_50_20</t>
  </si>
  <si>
    <t>Random-068_150x5587_50_50</t>
  </si>
  <si>
    <t>Random-069_150x5587_50_80</t>
  </si>
  <si>
    <t>Random-070_150x8940_80_20</t>
  </si>
  <si>
    <t>Random-071_150x8940_80_50</t>
  </si>
  <si>
    <t>Random-072_150x8940_80_80</t>
  </si>
  <si>
    <t>Random-073_170x2873_20_20</t>
  </si>
  <si>
    <t>Random-074_170x2873_20_50</t>
  </si>
  <si>
    <t>Random-075_170x2873_20_80</t>
  </si>
  <si>
    <t>Random-076_170x7182_50_20</t>
  </si>
  <si>
    <t>Random-077_170x7182_50_50</t>
  </si>
  <si>
    <t>Random-078_170x7182_50_80</t>
  </si>
  <si>
    <t>Random-079_170x11492_80_20</t>
  </si>
  <si>
    <t>Random-080_170x11492_80_50</t>
  </si>
  <si>
    <t>Random-081_170x11492_80_80</t>
  </si>
  <si>
    <t>Random-082_190x3591_20_20</t>
  </si>
  <si>
    <t>Random-083_190x3591_20_50</t>
  </si>
  <si>
    <t>Random-084_190x3591_20_80</t>
  </si>
  <si>
    <t>Random-085_190x8977_50_20</t>
  </si>
  <si>
    <t>Random-086_190x8977_50_50</t>
  </si>
  <si>
    <t>Random-087_190x8977_50_80</t>
  </si>
  <si>
    <t>Random-088_190x14364_80_20</t>
  </si>
  <si>
    <t>Random-089_190x14364_80_50</t>
  </si>
  <si>
    <t>Random-090_190x14364_80_80</t>
  </si>
  <si>
    <t>Random-091_210x4389_20_20</t>
  </si>
  <si>
    <t>Random-092_210x4389_20_50</t>
  </si>
  <si>
    <t>Random-093_210x4389_20_80</t>
  </si>
  <si>
    <t>Random-094_210x10972_50_20</t>
  </si>
  <si>
    <t>Random-095_210x10972_50_50</t>
  </si>
  <si>
    <t>Random-096_210x10972_50_80</t>
  </si>
  <si>
    <t>Random-097_210x17556_80_20</t>
  </si>
  <si>
    <t>Random-098_210x17556_80_50</t>
  </si>
  <si>
    <t>Random-099_210x17556_80_80</t>
  </si>
  <si>
    <t>Random-100_230x5267_20_20</t>
  </si>
  <si>
    <t>Random-101_230x5267_20_50</t>
  </si>
  <si>
    <t>Random-102_230x5267_20_80</t>
  </si>
  <si>
    <t>Random-103_230x13167_50_20</t>
  </si>
  <si>
    <t>Random-104_230x13167_50_50</t>
  </si>
  <si>
    <t>Random-105_230x13167_50_80</t>
  </si>
  <si>
    <t>Random-106_230x21068_80_20</t>
  </si>
  <si>
    <t>Random-107_230x21068_80_50</t>
  </si>
  <si>
    <t>Random-108_230x21068_80_80</t>
  </si>
  <si>
    <t>Random-109_250x6225_20_20</t>
  </si>
  <si>
    <t>Random-110_250x6225_20_50</t>
  </si>
  <si>
    <t>Random-111_250x6225_20_80</t>
  </si>
  <si>
    <t>Random-112_250x15562_50_20</t>
  </si>
  <si>
    <t>Random</t>
  </si>
  <si>
    <t>Random-113_250x15562_50_50</t>
  </si>
  <si>
    <t>Random-114_250x15562_50_80</t>
  </si>
  <si>
    <t>Random-115_250x24900_80_20</t>
  </si>
  <si>
    <t>Random-116_250x24900_80_50</t>
  </si>
  <si>
    <t>Random-117_250x24900_80_80</t>
  </si>
  <si>
    <t>BVNS</t>
  </si>
  <si>
    <t>ALL INSTANCES</t>
  </si>
  <si>
    <t>&lt;-#Best</t>
  </si>
  <si>
    <t>out.ucidata-gama</t>
  </si>
  <si>
    <t>out,moreno_sampson_sampson</t>
  </si>
  <si>
    <t>out,convote,txt</t>
  </si>
  <si>
    <t>500wikipedia_adminship_election_data,txt</t>
  </si>
  <si>
    <t>500soc-sign-epinions,txt</t>
  </si>
  <si>
    <t>500out,soc-sign-bitcoinalpha,txt</t>
  </si>
  <si>
    <t>2500soc-sign-epinions,txt</t>
  </si>
  <si>
    <t>2500out,soc-sign-bitcoinalpha,txt</t>
  </si>
  <si>
    <t>100wikipedia_adminship_election_data,txt</t>
  </si>
  <si>
    <t>100soc-sign-epinions,txt</t>
  </si>
  <si>
    <t>100out,soc-sign-bitcoinalpha,txt</t>
  </si>
  <si>
    <t>1000wikipedia_adminship_election_data,txt</t>
  </si>
  <si>
    <t>5000wikipedia_adminship_election_data,txt</t>
  </si>
  <si>
    <t>1000soc-sign-epinions,txt</t>
  </si>
  <si>
    <t>REAL</t>
  </si>
  <si>
    <t>MAB</t>
  </si>
  <si>
    <t>Cliques</t>
  </si>
  <si>
    <t>Louvain</t>
  </si>
  <si>
    <t>Mcallister</t>
  </si>
  <si>
    <t>All instances</t>
  </si>
  <si>
    <t>Filename</t>
  </si>
  <si>
    <t>Kind</t>
  </si>
  <si>
    <t>Vertices</t>
  </si>
  <si>
    <t>Edges</t>
  </si>
  <si>
    <t>Positive Edges</t>
  </si>
  <si>
    <t>Negative Edges</t>
  </si>
  <si>
    <t>Percent of negative edges</t>
  </si>
  <si>
    <t>Density</t>
  </si>
  <si>
    <t>1000soc-sign-epinions.txt</t>
  </si>
  <si>
    <t>Real</t>
  </si>
  <si>
    <t>1000wikipedia_adminship_election_data.txt</t>
  </si>
  <si>
    <t>100out.soc-sign-bitcoinalpha.txt</t>
  </si>
  <si>
    <t>100soc-sign-epinions.txt</t>
  </si>
  <si>
    <t>100wikipedia_adminship_election_data.txt</t>
  </si>
  <si>
    <t>2500out.soc-sign-bitcoinalpha.txt</t>
  </si>
  <si>
    <t>2500soc-sign-epinions.txt</t>
  </si>
  <si>
    <t>5000wikipedia_adminship_election_data.txt</t>
  </si>
  <si>
    <t>500out.soc-sign-bitcoinalpha.txt</t>
  </si>
  <si>
    <t>500soc-sign-epinions.txt</t>
  </si>
  <si>
    <t>500wikipedia_adminship_election_data.txt</t>
  </si>
  <si>
    <t>complete_001_10x45_100_20</t>
  </si>
  <si>
    <t>complete_002_10x45_100_50</t>
  </si>
  <si>
    <t>complete_003_10x45_100_80</t>
  </si>
  <si>
    <t>complete_004_10x45_100_20</t>
  </si>
  <si>
    <t>complete_005_10x45_100_50</t>
  </si>
  <si>
    <t>complete_006_10x45_100_80</t>
  </si>
  <si>
    <t>complete_007_10x45_100_20</t>
  </si>
  <si>
    <t>complete_008_10x45_100_50</t>
  </si>
  <si>
    <t>complete_009_10x45_100_80</t>
  </si>
  <si>
    <t>complete_010_30x435_100_20</t>
  </si>
  <si>
    <t>complete_011_30x435_100_50</t>
  </si>
  <si>
    <t>complete_012_30x435_100_80</t>
  </si>
  <si>
    <t>complete_013_30x435_100_20</t>
  </si>
  <si>
    <t>complete_014_30x435_100_50</t>
  </si>
  <si>
    <t>complete_015_30x435_100_80</t>
  </si>
  <si>
    <t>complete_016_30x435_100_20</t>
  </si>
  <si>
    <t>complete_017_30x435_100_50</t>
  </si>
  <si>
    <t>complete_018_30x435_100_80</t>
  </si>
  <si>
    <t>complete_019_50x1225_100_20</t>
  </si>
  <si>
    <t>complete_020_50x1225_100_50</t>
  </si>
  <si>
    <t>complete_021_50x1225_100_80</t>
  </si>
  <si>
    <t>complete_022_50x1225_100_20</t>
  </si>
  <si>
    <t>complete_023_50x1225_100_50</t>
  </si>
  <si>
    <t>complete_024_50x1225_100_80</t>
  </si>
  <si>
    <t>complete_025_50x1225_100_20</t>
  </si>
  <si>
    <t>complete_026_50x1225_100_50</t>
  </si>
  <si>
    <t>complete_027_50x1225_100_80</t>
  </si>
  <si>
    <t>complete_028_70x2415_100_20</t>
  </si>
  <si>
    <t>complete_029_70x2415_100_50</t>
  </si>
  <si>
    <t>complete_030_70x2415_100_80</t>
  </si>
  <si>
    <t>complete_031_70x2415_100_20</t>
  </si>
  <si>
    <t>complete_032_70x2415_100_50</t>
  </si>
  <si>
    <t>complete_033_70x2415_100_80</t>
  </si>
  <si>
    <t>complete_034_70x2415_100_20</t>
  </si>
  <si>
    <t>complete_035_70x2415_100_50</t>
  </si>
  <si>
    <t>complete_036_70x2415_100_80</t>
  </si>
  <si>
    <t>complete_037_90x4005_100_20</t>
  </si>
  <si>
    <t>complete_038_90x4005_100_50</t>
  </si>
  <si>
    <t>complete_039_90x4005_100_80</t>
  </si>
  <si>
    <t>complete_040_90x4005_100_20</t>
  </si>
  <si>
    <t>complete_041_90x4005_100_50</t>
  </si>
  <si>
    <t>complete_042_90x4005_100_80</t>
  </si>
  <si>
    <t>complete_043_90x4005_100_20</t>
  </si>
  <si>
    <t>complete_044_90x4005_100_50</t>
  </si>
  <si>
    <t>complete_045_90x4005_100_80</t>
  </si>
  <si>
    <t>complete_046_110x5995_100_20</t>
  </si>
  <si>
    <t>complete_047_110x5995_100_50</t>
  </si>
  <si>
    <t>complete_048_110x5995_100_80</t>
  </si>
  <si>
    <t>complete_049_110x5995_100_20</t>
  </si>
  <si>
    <t>complete_050_110x5995_100_50</t>
  </si>
  <si>
    <t>complete_051_110x5995_100_80</t>
  </si>
  <si>
    <t>complete_052_110x5995_100_20</t>
  </si>
  <si>
    <t>complete_053_110x5995_100_50</t>
  </si>
  <si>
    <t>complete_054_110x5995_100_80</t>
  </si>
  <si>
    <t>complete_055_130x8385_100_20</t>
  </si>
  <si>
    <t>complete_056_130x8385_100_50</t>
  </si>
  <si>
    <t>complete_057_130x8385_100_80</t>
  </si>
  <si>
    <t>complete_058_130x8385_100_20</t>
  </si>
  <si>
    <t>complete_059_130x8385_100_50</t>
  </si>
  <si>
    <t>complete_060_130x8385_100_80</t>
  </si>
  <si>
    <t>complete_061_130x8385_100_20</t>
  </si>
  <si>
    <t>complete_062_130x8385_100_50</t>
  </si>
  <si>
    <t>complete_063_130x8385_100_80</t>
  </si>
  <si>
    <t>complete_064_150x11175_100_20</t>
  </si>
  <si>
    <t>complete_065_150x11175_100_50</t>
  </si>
  <si>
    <t>complete_066_150x11175_100_80</t>
  </si>
  <si>
    <t>complete_067_150x11175_100_20</t>
  </si>
  <si>
    <t>complete_068_150x11175_100_50</t>
  </si>
  <si>
    <t>complete_069_150x11175_100_80</t>
  </si>
  <si>
    <t>complete_070_150x11175_100_20</t>
  </si>
  <si>
    <t>complete_071_150x11175_100_50</t>
  </si>
  <si>
    <t>complete_072_150x11175_100_80</t>
  </si>
  <si>
    <t>complete_073_170x14365_100_20</t>
  </si>
  <si>
    <t>complete_074_170x14365_100_50</t>
  </si>
  <si>
    <t>complete_075_170x14365_100_80</t>
  </si>
  <si>
    <t>complete_076_170x14365_100_20</t>
  </si>
  <si>
    <t>complete_077_170x14365_100_50</t>
  </si>
  <si>
    <t>complete_078_170x14365_100_80</t>
  </si>
  <si>
    <t>complete_079_170x14365_100_20</t>
  </si>
  <si>
    <t>complete_080_170x14365_100_50</t>
  </si>
  <si>
    <t>complete_081_170x14365_100_80</t>
  </si>
  <si>
    <t>complete_082_190x17955_100_20</t>
  </si>
  <si>
    <t>complete_083_190x17955_100_50</t>
  </si>
  <si>
    <t>complete_084_190x17955_100_80</t>
  </si>
  <si>
    <t>complete_085_190x17955_100_20</t>
  </si>
  <si>
    <t>complete_086_190x17955_100_50</t>
  </si>
  <si>
    <t>complete_087_190x17955_100_80</t>
  </si>
  <si>
    <t>complete_088_190x17955_100_20</t>
  </si>
  <si>
    <t>complete_089_190x17955_100_50</t>
  </si>
  <si>
    <t>complete_090_190x17955_100_80</t>
  </si>
  <si>
    <t>complete_091_210x21945_100_20</t>
  </si>
  <si>
    <t>complete_092_210x21945_100_50</t>
  </si>
  <si>
    <t>complete_093_210x21945_100_80</t>
  </si>
  <si>
    <t>complete_094_210x21945_100_20</t>
  </si>
  <si>
    <t>complete_095_210x21945_100_50</t>
  </si>
  <si>
    <t>complete_096_210x21945_100_80</t>
  </si>
  <si>
    <t>complete_097_210x21945_100_20</t>
  </si>
  <si>
    <t>complete_098_210x21945_100_50</t>
  </si>
  <si>
    <t>complete_099_210x21945_100_80</t>
  </si>
  <si>
    <t>complete_100_230x26335_100_20</t>
  </si>
  <si>
    <t>complete_101_230x26335_100_50</t>
  </si>
  <si>
    <t>complete_102_230x26335_100_80</t>
  </si>
  <si>
    <t>complete_103_230x26335_100_20</t>
  </si>
  <si>
    <t>complete_104_230x26335_100_50</t>
  </si>
  <si>
    <t>complete_105_230x26335_100_80</t>
  </si>
  <si>
    <t>complete_106_230x26335_100_20</t>
  </si>
  <si>
    <t>complete_107_230x26335_100_50</t>
  </si>
  <si>
    <t>complete_108_230x26335_100_80</t>
  </si>
  <si>
    <t>interval_001_10x6_20_20</t>
  </si>
  <si>
    <t>interval_002_10x8_20_50</t>
  </si>
  <si>
    <t>interval_003_10x9_20_80</t>
  </si>
  <si>
    <t>interval_004_10x21_50_20</t>
  </si>
  <si>
    <t>interval_005_10x25_50_50</t>
  </si>
  <si>
    <t>interval_006_10x26_50_80</t>
  </si>
  <si>
    <t>interval_007_10x34_80_20</t>
  </si>
  <si>
    <t>interval_008_10x35_80_50</t>
  </si>
  <si>
    <t>interval_009_10x33_80_80</t>
  </si>
  <si>
    <t>interval_010_30x106_20_20</t>
  </si>
  <si>
    <t>interval_011_30x85_20_50</t>
  </si>
  <si>
    <t>interval_012_30x83_20_80</t>
  </si>
  <si>
    <t>interval_013_30x227_50_20</t>
  </si>
  <si>
    <t>interval_014_30x216_50_50</t>
  </si>
  <si>
    <t>interval_015_30x216_50_80</t>
  </si>
  <si>
    <t>interval_016_30x348_80_20</t>
  </si>
  <si>
    <t>interval_017_30x345_80_50</t>
  </si>
  <si>
    <t>interval_018_30x348_80_80</t>
  </si>
  <si>
    <t>interval_019_50x260_20_20</t>
  </si>
  <si>
    <t>interval_020_50x235_20_50</t>
  </si>
  <si>
    <t>interval_021_50x248_20_80</t>
  </si>
  <si>
    <t>interval_022_50x634_50_20</t>
  </si>
  <si>
    <t>interval_023_50x609_50_50</t>
  </si>
  <si>
    <t>interval_024_50x609_50_80</t>
  </si>
  <si>
    <t>interval_025_50x1014_80_20</t>
  </si>
  <si>
    <t>interval_026_50x1025_80_50</t>
  </si>
  <si>
    <t>interval_027_50x967_80_80</t>
  </si>
  <si>
    <t>interval_028_70x482_20_20</t>
  </si>
  <si>
    <t>interval_029_70x472_20_50</t>
  </si>
  <si>
    <t>interval_030_70x496_20_80</t>
  </si>
  <si>
    <t>interval_031_70x1230_50_20</t>
  </si>
  <si>
    <t>interval_032_70x1217_50_50</t>
  </si>
  <si>
    <t>interval_033_70x1220_50_80</t>
  </si>
  <si>
    <t>interval_034_70x2008_80_20</t>
  </si>
  <si>
    <t>interval_035_70x1979_80_50</t>
  </si>
  <si>
    <t>interval_036_70x1938_80_80</t>
  </si>
  <si>
    <t>interval_037_90x827_20_20</t>
  </si>
  <si>
    <t>interval_038_90x799_20_50</t>
  </si>
  <si>
    <t>interval_039_90x816_20_80</t>
  </si>
  <si>
    <t>interval_040_90x2014_50_20</t>
  </si>
  <si>
    <t>interval_041_90x2073_50_50</t>
  </si>
  <si>
    <t>interval_042_90x2106_50_80</t>
  </si>
  <si>
    <t>interval_043_90x3088_80_20</t>
  </si>
  <si>
    <t>interval_044_90x3303_80_50</t>
  </si>
  <si>
    <t>interval_045_90x3226_80_80</t>
  </si>
  <si>
    <t>interval_046_110x1257_20_20</t>
  </si>
  <si>
    <t>interval_047_110x1244_20_50</t>
  </si>
  <si>
    <t>interval_048_110x1212_20_80</t>
  </si>
  <si>
    <t>interval_049_110x3180_50_20</t>
  </si>
  <si>
    <t>interval_050_110x3020_50_50</t>
  </si>
  <si>
    <t>interval_051_110x3016_50_80</t>
  </si>
  <si>
    <t>interval_052_110x5110_80_20</t>
  </si>
  <si>
    <t>interval_053_110x4928_80_50</t>
  </si>
  <si>
    <t>interval_054_110x4844_80_80</t>
  </si>
  <si>
    <t>interval_055_130x1785_20_20</t>
  </si>
  <si>
    <t>interval_056_130x1731_20_50</t>
  </si>
  <si>
    <t>interval_057_130x1727_20_80</t>
  </si>
  <si>
    <t>interval_058_130x4261_50_20</t>
  </si>
  <si>
    <t>interval_059_130x4354_50_50</t>
  </si>
  <si>
    <t>interval_060_130x4240_50_80</t>
  </si>
  <si>
    <t>interval_061_130x6933_80_20</t>
  </si>
  <si>
    <t>interval_062_130x6740_80_50</t>
  </si>
  <si>
    <t>interval_063_130x6733_80_80</t>
  </si>
  <si>
    <t>interval_064_150x2274_20_20</t>
  </si>
  <si>
    <t>interval_065_150x2359_20_50</t>
  </si>
  <si>
    <t>interval_066_150x2237_20_80</t>
  </si>
  <si>
    <t>interval_067_150x5626_50_20</t>
  </si>
  <si>
    <t>interval_068_150x5719_50_50</t>
  </si>
  <si>
    <t>interval_069_150x5626_50_80</t>
  </si>
  <si>
    <t>interval_070_150x9141_80_20</t>
  </si>
  <si>
    <t>interval_071_150x8873_80_50</t>
  </si>
  <si>
    <t>interval_072_150x9103_80_80</t>
  </si>
  <si>
    <t>interval_073_170x2995_20_20</t>
  </si>
  <si>
    <t>interval_074_170x2889_20_50</t>
  </si>
  <si>
    <t>interval_075_170x2923_20_80</t>
  </si>
  <si>
    <t>interval_076_170x7396_50_20</t>
  </si>
  <si>
    <t>interval_077_170x7304_50_50</t>
  </si>
  <si>
    <t>interval_078_170x7275_50_80</t>
  </si>
  <si>
    <t>interval_079_170x11713_80_20</t>
  </si>
  <si>
    <t>interval_080_170x12058_80_50</t>
  </si>
  <si>
    <t>interval_081_170x11714_80_80</t>
  </si>
  <si>
    <t>interval_082_190x3846_20_20</t>
  </si>
  <si>
    <t>interval_083_190x3601_20_50</t>
  </si>
  <si>
    <t>interval_084_190x3617_20_80</t>
  </si>
  <si>
    <t>interval_085_190x9057_50_20</t>
  </si>
  <si>
    <t>interval_086_190x9204_50_50</t>
  </si>
  <si>
    <t>interval_087_190x9112_50_80</t>
  </si>
  <si>
    <t>interval_088_190x14865_80_20</t>
  </si>
  <si>
    <t>interval_089_190x14608_80_50</t>
  </si>
  <si>
    <t>interval_090_190x14527_80_80</t>
  </si>
  <si>
    <t>interval_091_210x4534_20_20</t>
  </si>
  <si>
    <t>interval_092_210x4492_20_50</t>
  </si>
  <si>
    <t>interval_093_210x4415_20_80</t>
  </si>
  <si>
    <t>interval_094_210x11279_50_20</t>
  </si>
  <si>
    <t>interval_095_210x11070_50_50</t>
  </si>
  <si>
    <t>interval_096_210x10995_50_80</t>
  </si>
  <si>
    <t>interval_097_210x18619_80_20</t>
  </si>
  <si>
    <t>interval_098_210x17830_80_50</t>
  </si>
  <si>
    <t>interval_099_210x17734_80_80</t>
  </si>
  <si>
    <t>interval_100_230x5346_20_20</t>
  </si>
  <si>
    <t>interval_101_230x5488_20_50</t>
  </si>
  <si>
    <t>interval_102_230x5304_20_80</t>
  </si>
  <si>
    <t>interval_103_230x13610_50_20</t>
  </si>
  <si>
    <t>interval_104_230x13435_50_50</t>
  </si>
  <si>
    <t>interval_105_230x13250_50_80</t>
  </si>
  <si>
    <t>interval_106_230x22043_80_20</t>
  </si>
  <si>
    <t>interval_107_230x21418_80_50</t>
  </si>
  <si>
    <t>interval_108_230x21241_80_80</t>
  </si>
  <si>
    <t>interval_109_250x6488_20_20</t>
  </si>
  <si>
    <t>interval_110_250x6389_20_50</t>
  </si>
  <si>
    <t>interval_111_250x6228_20_80</t>
  </si>
  <si>
    <t>interval_112_250x15967_50_20</t>
  </si>
  <si>
    <t>interval_113_250x15815_50_50</t>
  </si>
  <si>
    <t>interval_114_250x15729_50_80</t>
  </si>
  <si>
    <t>interval_115_250x26281_80_20</t>
  </si>
  <si>
    <t>interval_116_250x25484_80_50</t>
  </si>
  <si>
    <t>interval_117_250x25193_80_80</t>
  </si>
  <si>
    <t>random_001_10x9_20_20</t>
  </si>
  <si>
    <t>random_002_10x9_20_50</t>
  </si>
  <si>
    <t>random_003_10x9_20_80</t>
  </si>
  <si>
    <t>out.convote.txt</t>
  </si>
  <si>
    <t>random_004_10x22_50_20</t>
  </si>
  <si>
    <t>out.moreno_sampson_sampson</t>
  </si>
  <si>
    <t>random_005_10x22_50_50</t>
  </si>
  <si>
    <t>random_006_10x22_50_80</t>
  </si>
  <si>
    <t>random_007_10x36_80_20</t>
  </si>
  <si>
    <t>random_008_10x36_80_50</t>
  </si>
  <si>
    <t>random_009_10x36_80_80</t>
  </si>
  <si>
    <t>random_010_30x87_20_20</t>
  </si>
  <si>
    <t>random_011_30x87_20_50</t>
  </si>
  <si>
    <t>random_012_30x87_20_80</t>
  </si>
  <si>
    <t>random_013_30x217_50_20</t>
  </si>
  <si>
    <t>random_014_30x217_50_50</t>
  </si>
  <si>
    <t>random_015_30x217_50_80</t>
  </si>
  <si>
    <t>random_016_30x348_80_20</t>
  </si>
  <si>
    <t>random_017_30x348_80_50</t>
  </si>
  <si>
    <t>random_018_30x348_80_80</t>
  </si>
  <si>
    <t>random_019_50x245_20_20</t>
  </si>
  <si>
    <t>random_020_50x245_20_50</t>
  </si>
  <si>
    <t>random_021_50x245_20_80</t>
  </si>
  <si>
    <t>random_022_50x612_50_20</t>
  </si>
  <si>
    <t>random_023_50x612_50_50</t>
  </si>
  <si>
    <t>random_024_50x612_50_80</t>
  </si>
  <si>
    <t>random_025_50x980_80_20</t>
  </si>
  <si>
    <t>random_026_50x980_80_50</t>
  </si>
  <si>
    <t>random_027_50x980_80_80</t>
  </si>
  <si>
    <t>random_028_70x483_20_20</t>
  </si>
  <si>
    <t>random_029_70x483_20_50</t>
  </si>
  <si>
    <t>random_030_70x483_20_80</t>
  </si>
  <si>
    <t>random_031_70x1207_50_20</t>
  </si>
  <si>
    <t>random_032_70x1207_50_50</t>
  </si>
  <si>
    <t>random_033_70x1207_50_80</t>
  </si>
  <si>
    <t>random_034_70x1932_80_20</t>
  </si>
  <si>
    <t>random_035_70x1932_80_50</t>
  </si>
  <si>
    <t>random_036_70x1932_80_80</t>
  </si>
  <si>
    <t>random_037_90x801_20_20</t>
  </si>
  <si>
    <t>random_038_90x801_20_50</t>
  </si>
  <si>
    <t>random_039_90x801_20_80</t>
  </si>
  <si>
    <t>random_040_90x2002_50_20</t>
  </si>
  <si>
    <t>random_041_90x2002_50_50</t>
  </si>
  <si>
    <t>random_042_90x2002_50_80</t>
  </si>
  <si>
    <t>random_043_90x3204_80_20</t>
  </si>
  <si>
    <t>random_044_90x3204_80_50</t>
  </si>
  <si>
    <t>random_045_90x3204_80_80</t>
  </si>
  <si>
    <t>random_046_110x1199_20_20</t>
  </si>
  <si>
    <t>random_047_110x1199_20_50</t>
  </si>
  <si>
    <t>random_048_110x1199_20_80</t>
  </si>
  <si>
    <t>random_049_110x2997_50_20</t>
  </si>
  <si>
    <t>random_050_110x2997_50_50</t>
  </si>
  <si>
    <t>random_051_110x2997_50_80</t>
  </si>
  <si>
    <t>random_052_110x4796_80_20</t>
  </si>
  <si>
    <t>random_053_110x4796_80_50</t>
  </si>
  <si>
    <t>random_054_110x4796_80_80</t>
  </si>
  <si>
    <t>random_055_130x1677_20_20</t>
  </si>
  <si>
    <t>random_056_130x1677_20_50</t>
  </si>
  <si>
    <t>random_057_130x1677_20_80</t>
  </si>
  <si>
    <t>random_058_130x4192_50_20</t>
  </si>
  <si>
    <t>random_059_130x4192_50_50</t>
  </si>
  <si>
    <t>random_060_130x4192_50_80</t>
  </si>
  <si>
    <t>random_061_130x6708_80_20</t>
  </si>
  <si>
    <t>random_062_130x6708_80_50</t>
  </si>
  <si>
    <t>random_063_130x6708_80_80</t>
  </si>
  <si>
    <t>random_064_150x2235_20_20</t>
  </si>
  <si>
    <t>random_065_150x2235_20_50</t>
  </si>
  <si>
    <t>random_066_150x2235_20_80</t>
  </si>
  <si>
    <t>random_067_150x5587_50_20</t>
  </si>
  <si>
    <t>random_068_150x5587_50_50</t>
  </si>
  <si>
    <t>random_069_150x5587_50_80</t>
  </si>
  <si>
    <t>random_070_150x8940_80_20</t>
  </si>
  <si>
    <t>random_071_150x8940_80_50</t>
  </si>
  <si>
    <t>random_072_150x8940_80_80</t>
  </si>
  <si>
    <t>random_073_170x2873_20_20</t>
  </si>
  <si>
    <t>random_074_170x2873_20_50</t>
  </si>
  <si>
    <t>random_075_170x2873_20_80</t>
  </si>
  <si>
    <t>random_076_170x7182_50_20</t>
  </si>
  <si>
    <t>random_077_170x7182_50_50</t>
  </si>
  <si>
    <t>random_078_170x7182_50_80</t>
  </si>
  <si>
    <t>random_079_170x11492_80_20</t>
  </si>
  <si>
    <t>random_080_170x11492_80_50</t>
  </si>
  <si>
    <t>random_081_170x11492_80_80</t>
  </si>
  <si>
    <t>random_082_190x3591_20_20</t>
  </si>
  <si>
    <t>random_083_190x3591_20_50</t>
  </si>
  <si>
    <t>random_084_190x3591_20_80</t>
  </si>
  <si>
    <t>random_085_190x8977_50_20</t>
  </si>
  <si>
    <t>random_086_190x8977_50_50</t>
  </si>
  <si>
    <t>random_087_190x8977_50_80</t>
  </si>
  <si>
    <t>random_088_190x14364_80_20</t>
  </si>
  <si>
    <t>random_089_190x14364_80_50</t>
  </si>
  <si>
    <t>random_090_190x14364_80_80</t>
  </si>
  <si>
    <t>random_091_210x4389_20_20</t>
  </si>
  <si>
    <t>random_092_210x4389_20_50</t>
  </si>
  <si>
    <t>random_093_210x4389_20_80</t>
  </si>
  <si>
    <t>random_094_210x10972_50_20</t>
  </si>
  <si>
    <t>random_095_210x10972_50_50</t>
  </si>
  <si>
    <t>random_096_210x10972_50_80</t>
  </si>
  <si>
    <t>random_097_210x17556_80_20</t>
  </si>
  <si>
    <t>random_098_210x17556_80_50</t>
  </si>
  <si>
    <t>random_099_210x17556_80_80</t>
  </si>
  <si>
    <t>random_100_230x5267_20_20</t>
  </si>
  <si>
    <t>random_101_230x5267_20_50</t>
  </si>
  <si>
    <t>random_102_230x5267_20_80</t>
  </si>
  <si>
    <t>random_103_230x13167_50_20</t>
  </si>
  <si>
    <t>random_104_230x13167_50_50</t>
  </si>
  <si>
    <t>random_105_230x13167_50_80</t>
  </si>
  <si>
    <t>random_106_230x21068_80_20</t>
  </si>
  <si>
    <t>random_107_230x21068_80_50</t>
  </si>
  <si>
    <t>random_108_230x21068_80_80</t>
  </si>
  <si>
    <t>random_109_250x6225_20_20</t>
  </si>
  <si>
    <t>random_110_250x6225_20_50</t>
  </si>
  <si>
    <t>random_111_250x6225_20_80</t>
  </si>
  <si>
    <t>random_112_250x15562_50_20</t>
  </si>
  <si>
    <t>random_113_250x15562_50_50</t>
  </si>
  <si>
    <t>random_114_250x15562_50_80</t>
  </si>
  <si>
    <t>random_115_250x24900_80_20</t>
  </si>
  <si>
    <t>random_116_250x24900_80_50</t>
  </si>
  <si>
    <t>random_117_250x24900_80_80</t>
  </si>
  <si>
    <t>The instances on the left</t>
  </si>
  <si>
    <t xml:space="preserve">are all the instances on </t>
  </si>
  <si>
    <t>the dataset</t>
  </si>
  <si>
    <t>The instances on the right</t>
  </si>
  <si>
    <t>are the 81 instances used</t>
  </si>
  <si>
    <t>for experimentation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</si>
</sst>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0.0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10" fontId="2" fillId="0" borderId="1" xfId="0" applyNumberFormat="1" applyFont="1" applyBorder="1"/>
    <xf numFmtId="0" fontId="0" fillId="2" borderId="2" xfId="0" applyFill="1" applyBorder="1"/>
    <xf numFmtId="10" fontId="0" fillId="0" borderId="1" xfId="2" applyNumberFormat="1" applyFont="1" applyBorder="1"/>
    <xf numFmtId="0" fontId="0" fillId="0" borderId="2" xfId="0" applyBorder="1"/>
    <xf numFmtId="0" fontId="0" fillId="3" borderId="6" xfId="0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2" fillId="3" borderId="9" xfId="0" applyFont="1" applyFill="1" applyBorder="1"/>
    <xf numFmtId="2" fontId="2" fillId="3" borderId="10" xfId="0" applyNumberFormat="1" applyFont="1" applyFill="1" applyBorder="1"/>
    <xf numFmtId="2" fontId="2" fillId="3" borderId="11" xfId="0" applyNumberFormat="1" applyFont="1" applyFill="1" applyBorder="1"/>
    <xf numFmtId="10" fontId="2" fillId="3" borderId="9" xfId="0" applyNumberFormat="1" applyFont="1" applyFill="1" applyBorder="1"/>
    <xf numFmtId="10" fontId="0" fillId="0" borderId="12" xfId="2" applyNumberFormat="1" applyFont="1" applyBorder="1"/>
    <xf numFmtId="0" fontId="0" fillId="0" borderId="13" xfId="0" applyBorder="1"/>
    <xf numFmtId="0" fontId="2" fillId="3" borderId="14" xfId="0" applyFont="1" applyFill="1" applyBorder="1"/>
    <xf numFmtId="0" fontId="2" fillId="3" borderId="15" xfId="1" applyNumberFormat="1" applyFont="1" applyFill="1" applyBorder="1"/>
    <xf numFmtId="0" fontId="2" fillId="3" borderId="16" xfId="1" applyNumberFormat="1" applyFont="1" applyFill="1" applyBorder="1"/>
    <xf numFmtId="0" fontId="0" fillId="0" borderId="17" xfId="0" applyBorder="1"/>
    <xf numFmtId="0" fontId="2" fillId="0" borderId="18" xfId="0" applyFont="1" applyBorder="1"/>
    <xf numFmtId="0" fontId="0" fillId="2" borderId="19" xfId="0" applyFill="1" applyBorder="1"/>
    <xf numFmtId="0" fontId="0" fillId="2" borderId="17" xfId="0" applyFill="1" applyBorder="1"/>
    <xf numFmtId="2" fontId="2" fillId="0" borderId="20" xfId="0" applyNumberFormat="1" applyFont="1" applyBorder="1"/>
    <xf numFmtId="10" fontId="2" fillId="0" borderId="20" xfId="0" applyNumberFormat="1" applyFont="1" applyBorder="1"/>
    <xf numFmtId="0" fontId="2" fillId="0" borderId="20" xfId="0" applyFont="1" applyBorder="1"/>
    <xf numFmtId="0" fontId="2" fillId="0" borderId="1" xfId="1" applyNumberFormat="1" applyFont="1" applyBorder="1"/>
    <xf numFmtId="2" fontId="0" fillId="0" borderId="0" xfId="0" applyNumberFormat="1"/>
    <xf numFmtId="0" fontId="0" fillId="0" borderId="18" xfId="0" applyBorder="1"/>
    <xf numFmtId="2" fontId="0" fillId="0" borderId="18" xfId="0" applyNumberFormat="1" applyBorder="1"/>
    <xf numFmtId="10" fontId="2" fillId="3" borderId="10" xfId="0" applyNumberFormat="1" applyFont="1" applyFill="1" applyBorder="1"/>
    <xf numFmtId="10" fontId="2" fillId="3" borderId="11" xfId="0" applyNumberFormat="1" applyFont="1" applyFill="1" applyBorder="1"/>
    <xf numFmtId="0" fontId="0" fillId="0" borderId="20" xfId="0" applyBorder="1"/>
    <xf numFmtId="0" fontId="2" fillId="3" borderId="21" xfId="0" applyFont="1" applyFill="1" applyBorder="1"/>
    <xf numFmtId="2" fontId="2" fillId="3" borderId="20" xfId="0" applyNumberFormat="1" applyFont="1" applyFill="1" applyBorder="1"/>
    <xf numFmtId="10" fontId="0" fillId="0" borderId="0" xfId="0" applyNumberFormat="1"/>
    <xf numFmtId="0" fontId="2" fillId="4" borderId="0" xfId="0" applyFont="1" applyFill="1"/>
    <xf numFmtId="0" fontId="0" fillId="4" borderId="0" xfId="0" applyFill="1"/>
    <xf numFmtId="0" fontId="2" fillId="0" borderId="2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9" fontId="2" fillId="3" borderId="11" xfId="2" applyFont="1" applyFill="1" applyBorder="1"/>
    <xf numFmtId="166" fontId="2" fillId="3" borderId="11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1C61C-8F53-46E7-A91E-D4FD1C530BB8}">
  <dimension ref="A1:W357"/>
  <sheetViews>
    <sheetView topLeftCell="A330" workbookViewId="0">
      <selection activeCell="D356" sqref="D356"/>
    </sheetView>
  </sheetViews>
  <sheetFormatPr defaultRowHeight="15" x14ac:dyDescent="0.25"/>
  <cols>
    <col min="1" max="1" width="42.5703125" bestFit="1" customWidth="1"/>
    <col min="2" max="2" width="17.7109375" bestFit="1" customWidth="1"/>
    <col min="3" max="3" width="8.42578125" bestFit="1" customWidth="1"/>
    <col min="4" max="4" width="7" bestFit="1" customWidth="1"/>
    <col min="5" max="5" width="14.28515625" bestFit="1" customWidth="1"/>
    <col min="6" max="6" width="15" bestFit="1" customWidth="1"/>
    <col min="7" max="7" width="24.7109375" bestFit="1" customWidth="1"/>
    <col min="8" max="8" width="8" bestFit="1" customWidth="1"/>
    <col min="9" max="9" width="9.140625" style="36"/>
    <col min="13" max="13" width="9.140625" style="36"/>
    <col min="14" max="14" width="41.5703125" bestFit="1" customWidth="1"/>
    <col min="16" max="16" width="41.5703125" bestFit="1" customWidth="1"/>
  </cols>
  <sheetData>
    <row r="1" spans="1:23" s="1" customFormat="1" x14ac:dyDescent="0.25">
      <c r="A1" s="1" t="s">
        <v>375</v>
      </c>
      <c r="B1" s="1" t="s">
        <v>376</v>
      </c>
      <c r="C1" s="1" t="s">
        <v>377</v>
      </c>
      <c r="D1" s="1" t="s">
        <v>378</v>
      </c>
      <c r="E1" s="1" t="s">
        <v>379</v>
      </c>
      <c r="F1" s="1" t="s">
        <v>380</v>
      </c>
      <c r="G1" s="1" t="s">
        <v>381</v>
      </c>
      <c r="H1" s="1" t="s">
        <v>382</v>
      </c>
      <c r="I1" s="35"/>
      <c r="J1" t="s">
        <v>739</v>
      </c>
      <c r="K1"/>
      <c r="L1"/>
      <c r="M1" s="35"/>
      <c r="N1"/>
      <c r="O1"/>
      <c r="P1" t="s">
        <v>375</v>
      </c>
    </row>
    <row r="2" spans="1:23" x14ac:dyDescent="0.25">
      <c r="A2" t="s">
        <v>395</v>
      </c>
      <c r="B2" t="s">
        <v>109</v>
      </c>
      <c r="C2">
        <v>10</v>
      </c>
      <c r="D2">
        <v>45</v>
      </c>
      <c r="E2">
        <v>35</v>
      </c>
      <c r="F2">
        <v>10</v>
      </c>
      <c r="G2" s="34">
        <v>0.22</v>
      </c>
      <c r="H2" s="34">
        <v>1</v>
      </c>
      <c r="J2" t="s">
        <v>740</v>
      </c>
      <c r="M2" s="36" t="s">
        <v>404</v>
      </c>
      <c r="N2" t="s">
        <v>404</v>
      </c>
      <c r="P2" t="str" cm="1">
        <f t="array" ref="P2:W96">_xlfn._xlws.FILTER(A2:H357, ISNUMBER(MATCH(A2:A357, N2:N96, 0)))</f>
        <v>complete_010_30x435_100_20</v>
      </c>
      <c r="Q2" t="str">
        <v>Complete</v>
      </c>
      <c r="R2">
        <v>30</v>
      </c>
      <c r="S2">
        <v>435</v>
      </c>
      <c r="T2">
        <v>344</v>
      </c>
      <c r="U2">
        <v>91</v>
      </c>
      <c r="V2" s="34">
        <v>0.21</v>
      </c>
      <c r="W2" s="34">
        <v>1</v>
      </c>
    </row>
    <row r="3" spans="1:23" x14ac:dyDescent="0.25">
      <c r="A3" t="s">
        <v>396</v>
      </c>
      <c r="B3" t="s">
        <v>109</v>
      </c>
      <c r="C3">
        <v>10</v>
      </c>
      <c r="D3">
        <v>45</v>
      </c>
      <c r="E3">
        <v>26</v>
      </c>
      <c r="F3">
        <v>19</v>
      </c>
      <c r="G3" s="34">
        <v>0.42</v>
      </c>
      <c r="H3" s="34">
        <v>1</v>
      </c>
      <c r="J3" t="s">
        <v>741</v>
      </c>
      <c r="M3" s="36" t="s">
        <v>405</v>
      </c>
      <c r="N3" t="s">
        <v>405</v>
      </c>
      <c r="P3" t="str">
        <v>complete_011_30x435_100_50</v>
      </c>
      <c r="Q3" t="str">
        <v>Complete</v>
      </c>
      <c r="R3">
        <v>30</v>
      </c>
      <c r="S3">
        <v>435</v>
      </c>
      <c r="T3">
        <v>209</v>
      </c>
      <c r="U3">
        <v>226</v>
      </c>
      <c r="V3" s="34">
        <v>0.52</v>
      </c>
      <c r="W3" s="34">
        <v>1</v>
      </c>
    </row>
    <row r="4" spans="1:23" x14ac:dyDescent="0.25">
      <c r="A4" t="s">
        <v>397</v>
      </c>
      <c r="B4" t="s">
        <v>109</v>
      </c>
      <c r="C4">
        <v>10</v>
      </c>
      <c r="D4">
        <v>45</v>
      </c>
      <c r="E4">
        <v>13</v>
      </c>
      <c r="F4">
        <v>32</v>
      </c>
      <c r="G4" s="34">
        <v>0.71</v>
      </c>
      <c r="H4" s="34">
        <v>1</v>
      </c>
      <c r="M4" s="36" t="s">
        <v>406</v>
      </c>
      <c r="N4" t="s">
        <v>406</v>
      </c>
      <c r="P4" t="str">
        <v>complete_012_30x435_100_80</v>
      </c>
      <c r="Q4" t="str">
        <v>Complete</v>
      </c>
      <c r="R4">
        <v>30</v>
      </c>
      <c r="S4">
        <v>435</v>
      </c>
      <c r="T4">
        <v>93</v>
      </c>
      <c r="U4">
        <v>342</v>
      </c>
      <c r="V4" s="34">
        <v>0.79</v>
      </c>
      <c r="W4" s="34">
        <v>1</v>
      </c>
    </row>
    <row r="5" spans="1:23" x14ac:dyDescent="0.25">
      <c r="A5" t="s">
        <v>398</v>
      </c>
      <c r="B5" t="s">
        <v>109</v>
      </c>
      <c r="C5">
        <v>10</v>
      </c>
      <c r="D5">
        <v>45</v>
      </c>
      <c r="E5">
        <v>35</v>
      </c>
      <c r="F5">
        <v>10</v>
      </c>
      <c r="G5" s="34">
        <v>0.22</v>
      </c>
      <c r="H5" s="34">
        <v>1</v>
      </c>
      <c r="M5" s="36" t="s">
        <v>407</v>
      </c>
      <c r="N5" t="s">
        <v>407</v>
      </c>
      <c r="P5" t="str">
        <v>complete_013_30x435_100_20</v>
      </c>
      <c r="Q5" t="str">
        <v>Complete</v>
      </c>
      <c r="R5">
        <v>30</v>
      </c>
      <c r="S5">
        <v>435</v>
      </c>
      <c r="T5">
        <v>349</v>
      </c>
      <c r="U5">
        <v>86</v>
      </c>
      <c r="V5" s="34">
        <v>0.2</v>
      </c>
      <c r="W5" s="34">
        <v>1</v>
      </c>
    </row>
    <row r="6" spans="1:23" x14ac:dyDescent="0.25">
      <c r="A6" t="s">
        <v>399</v>
      </c>
      <c r="B6" t="s">
        <v>109</v>
      </c>
      <c r="C6">
        <v>10</v>
      </c>
      <c r="D6">
        <v>45</v>
      </c>
      <c r="E6">
        <v>24</v>
      </c>
      <c r="F6">
        <v>21</v>
      </c>
      <c r="G6" s="34">
        <v>0.47</v>
      </c>
      <c r="H6" s="34">
        <v>1</v>
      </c>
      <c r="J6" t="s">
        <v>742</v>
      </c>
      <c r="M6" s="36" t="s">
        <v>408</v>
      </c>
      <c r="N6" t="s">
        <v>408</v>
      </c>
      <c r="P6" t="str">
        <v>complete_014_30x435_100_50</v>
      </c>
      <c r="Q6" t="str">
        <v>Complete</v>
      </c>
      <c r="R6">
        <v>30</v>
      </c>
      <c r="S6">
        <v>435</v>
      </c>
      <c r="T6">
        <v>214</v>
      </c>
      <c r="U6">
        <v>221</v>
      </c>
      <c r="V6" s="34">
        <v>0.51</v>
      </c>
      <c r="W6" s="34">
        <v>1</v>
      </c>
    </row>
    <row r="7" spans="1:23" x14ac:dyDescent="0.25">
      <c r="A7" t="s">
        <v>400</v>
      </c>
      <c r="B7" t="s">
        <v>109</v>
      </c>
      <c r="C7">
        <v>10</v>
      </c>
      <c r="D7">
        <v>45</v>
      </c>
      <c r="E7">
        <v>9</v>
      </c>
      <c r="F7">
        <v>36</v>
      </c>
      <c r="G7" s="34">
        <v>0.8</v>
      </c>
      <c r="H7" s="34">
        <v>1</v>
      </c>
      <c r="J7" t="s">
        <v>743</v>
      </c>
      <c r="M7" s="36" t="s">
        <v>409</v>
      </c>
      <c r="N7" t="s">
        <v>409</v>
      </c>
      <c r="P7" t="str">
        <v>complete_015_30x435_100_80</v>
      </c>
      <c r="Q7" t="str">
        <v>Complete</v>
      </c>
      <c r="R7">
        <v>30</v>
      </c>
      <c r="S7">
        <v>435</v>
      </c>
      <c r="T7">
        <v>87</v>
      </c>
      <c r="U7">
        <v>348</v>
      </c>
      <c r="V7" s="34">
        <v>0.8</v>
      </c>
      <c r="W7" s="34">
        <v>1</v>
      </c>
    </row>
    <row r="8" spans="1:23" x14ac:dyDescent="0.25">
      <c r="A8" t="s">
        <v>401</v>
      </c>
      <c r="B8" t="s">
        <v>109</v>
      </c>
      <c r="C8">
        <v>10</v>
      </c>
      <c r="D8">
        <v>45</v>
      </c>
      <c r="E8">
        <v>43</v>
      </c>
      <c r="F8">
        <v>2</v>
      </c>
      <c r="G8" s="34">
        <v>0.04</v>
      </c>
      <c r="H8" s="34">
        <v>1</v>
      </c>
      <c r="J8" t="s">
        <v>744</v>
      </c>
      <c r="M8" s="36" t="s">
        <v>410</v>
      </c>
      <c r="N8" t="s">
        <v>410</v>
      </c>
      <c r="P8" t="str">
        <v>complete_016_30x435_100_20</v>
      </c>
      <c r="Q8" t="str">
        <v>Complete</v>
      </c>
      <c r="R8">
        <v>30</v>
      </c>
      <c r="S8">
        <v>435</v>
      </c>
      <c r="T8">
        <v>351</v>
      </c>
      <c r="U8">
        <v>84</v>
      </c>
      <c r="V8" s="34">
        <v>0.19</v>
      </c>
      <c r="W8" s="34">
        <v>1</v>
      </c>
    </row>
    <row r="9" spans="1:23" x14ac:dyDescent="0.25">
      <c r="A9" t="s">
        <v>402</v>
      </c>
      <c r="B9" t="s">
        <v>109</v>
      </c>
      <c r="C9">
        <v>10</v>
      </c>
      <c r="D9">
        <v>45</v>
      </c>
      <c r="E9">
        <v>22</v>
      </c>
      <c r="F9">
        <v>23</v>
      </c>
      <c r="G9" s="34">
        <v>0.51</v>
      </c>
      <c r="H9" s="34">
        <v>1</v>
      </c>
      <c r="M9" s="36" t="s">
        <v>411</v>
      </c>
      <c r="N9" t="s">
        <v>411</v>
      </c>
      <c r="P9" t="str">
        <v>complete_017_30x435_100_50</v>
      </c>
      <c r="Q9" t="str">
        <v>Complete</v>
      </c>
      <c r="R9">
        <v>30</v>
      </c>
      <c r="S9">
        <v>435</v>
      </c>
      <c r="T9">
        <v>212</v>
      </c>
      <c r="U9">
        <v>223</v>
      </c>
      <c r="V9" s="34">
        <v>0.51</v>
      </c>
      <c r="W9" s="34">
        <v>1</v>
      </c>
    </row>
    <row r="10" spans="1:23" x14ac:dyDescent="0.25">
      <c r="A10" t="s">
        <v>403</v>
      </c>
      <c r="B10" t="s">
        <v>109</v>
      </c>
      <c r="C10">
        <v>10</v>
      </c>
      <c r="D10">
        <v>45</v>
      </c>
      <c r="E10">
        <v>6</v>
      </c>
      <c r="F10">
        <v>39</v>
      </c>
      <c r="G10" s="34">
        <v>0.87</v>
      </c>
      <c r="H10" s="34">
        <v>1</v>
      </c>
      <c r="M10" s="36" t="s">
        <v>412</v>
      </c>
      <c r="N10" t="s">
        <v>412</v>
      </c>
      <c r="P10" t="str">
        <v>complete_018_30x435_100_80</v>
      </c>
      <c r="Q10" t="str">
        <v>Complete</v>
      </c>
      <c r="R10">
        <v>30</v>
      </c>
      <c r="S10">
        <v>435</v>
      </c>
      <c r="T10">
        <v>90</v>
      </c>
      <c r="U10">
        <v>345</v>
      </c>
      <c r="V10" s="34">
        <v>0.79</v>
      </c>
      <c r="W10" s="34">
        <v>1</v>
      </c>
    </row>
    <row r="11" spans="1:23" x14ac:dyDescent="0.25">
      <c r="A11" t="s">
        <v>404</v>
      </c>
      <c r="B11" t="s">
        <v>109</v>
      </c>
      <c r="C11">
        <v>30</v>
      </c>
      <c r="D11">
        <v>435</v>
      </c>
      <c r="E11">
        <v>344</v>
      </c>
      <c r="F11">
        <v>91</v>
      </c>
      <c r="G11" s="34">
        <v>0.21</v>
      </c>
      <c r="H11" s="34">
        <v>1</v>
      </c>
      <c r="M11" s="36" t="s">
        <v>440</v>
      </c>
      <c r="N11" t="s">
        <v>440</v>
      </c>
      <c r="P11" t="str">
        <v>complete_046_110x5995_100_20</v>
      </c>
      <c r="Q11" t="str">
        <v>Complete</v>
      </c>
      <c r="R11">
        <v>110</v>
      </c>
      <c r="S11">
        <v>5995</v>
      </c>
      <c r="T11">
        <v>4816</v>
      </c>
      <c r="U11">
        <v>1179</v>
      </c>
      <c r="V11" s="34">
        <v>0.2</v>
      </c>
      <c r="W11" s="34">
        <v>1</v>
      </c>
    </row>
    <row r="12" spans="1:23" x14ac:dyDescent="0.25">
      <c r="A12" t="s">
        <v>405</v>
      </c>
      <c r="B12" t="s">
        <v>109</v>
      </c>
      <c r="C12">
        <v>30</v>
      </c>
      <c r="D12">
        <v>435</v>
      </c>
      <c r="E12">
        <v>209</v>
      </c>
      <c r="F12">
        <v>226</v>
      </c>
      <c r="G12" s="34">
        <v>0.52</v>
      </c>
      <c r="H12" s="34">
        <v>1</v>
      </c>
      <c r="M12" s="36" t="s">
        <v>441</v>
      </c>
      <c r="N12" t="s">
        <v>441</v>
      </c>
      <c r="P12" t="str">
        <v>complete_047_110x5995_100_50</v>
      </c>
      <c r="Q12" t="str">
        <v>Complete</v>
      </c>
      <c r="R12">
        <v>110</v>
      </c>
      <c r="S12">
        <v>5995</v>
      </c>
      <c r="T12">
        <v>3045</v>
      </c>
      <c r="U12">
        <v>2950</v>
      </c>
      <c r="V12" s="34">
        <v>0.49</v>
      </c>
      <c r="W12" s="34">
        <v>1</v>
      </c>
    </row>
    <row r="13" spans="1:23" x14ac:dyDescent="0.25">
      <c r="A13" t="s">
        <v>406</v>
      </c>
      <c r="B13" t="s">
        <v>109</v>
      </c>
      <c r="C13">
        <v>30</v>
      </c>
      <c r="D13">
        <v>435</v>
      </c>
      <c r="E13">
        <v>93</v>
      </c>
      <c r="F13">
        <v>342</v>
      </c>
      <c r="G13" s="34">
        <v>0.79</v>
      </c>
      <c r="H13" s="34">
        <v>1</v>
      </c>
      <c r="M13" s="36" t="s">
        <v>442</v>
      </c>
      <c r="N13" t="s">
        <v>442</v>
      </c>
      <c r="P13" t="str">
        <v>complete_048_110x5995_100_80</v>
      </c>
      <c r="Q13" t="str">
        <v>Complete</v>
      </c>
      <c r="R13">
        <v>110</v>
      </c>
      <c r="S13">
        <v>5995</v>
      </c>
      <c r="T13">
        <v>1254</v>
      </c>
      <c r="U13">
        <v>4741</v>
      </c>
      <c r="V13" s="34">
        <v>0.79</v>
      </c>
      <c r="W13" s="34">
        <v>1</v>
      </c>
    </row>
    <row r="14" spans="1:23" x14ac:dyDescent="0.25">
      <c r="A14" t="s">
        <v>407</v>
      </c>
      <c r="B14" t="s">
        <v>109</v>
      </c>
      <c r="C14">
        <v>30</v>
      </c>
      <c r="D14">
        <v>435</v>
      </c>
      <c r="E14">
        <v>349</v>
      </c>
      <c r="F14">
        <v>86</v>
      </c>
      <c r="G14" s="34">
        <v>0.2</v>
      </c>
      <c r="H14" s="34">
        <v>1</v>
      </c>
      <c r="M14" s="36" t="s">
        <v>443</v>
      </c>
      <c r="N14" t="s">
        <v>443</v>
      </c>
      <c r="P14" t="str">
        <v>complete_049_110x5995_100_20</v>
      </c>
      <c r="Q14" t="str">
        <v>Complete</v>
      </c>
      <c r="R14">
        <v>110</v>
      </c>
      <c r="S14">
        <v>5995</v>
      </c>
      <c r="T14">
        <v>4831</v>
      </c>
      <c r="U14">
        <v>1164</v>
      </c>
      <c r="V14" s="34">
        <v>0.19</v>
      </c>
      <c r="W14" s="34">
        <v>1</v>
      </c>
    </row>
    <row r="15" spans="1:23" x14ac:dyDescent="0.25">
      <c r="A15" t="s">
        <v>408</v>
      </c>
      <c r="B15" t="s">
        <v>109</v>
      </c>
      <c r="C15">
        <v>30</v>
      </c>
      <c r="D15">
        <v>435</v>
      </c>
      <c r="E15">
        <v>214</v>
      </c>
      <c r="F15">
        <v>221</v>
      </c>
      <c r="G15" s="34">
        <v>0.51</v>
      </c>
      <c r="H15" s="34">
        <v>1</v>
      </c>
      <c r="M15" s="36" t="s">
        <v>444</v>
      </c>
      <c r="N15" t="s">
        <v>444</v>
      </c>
      <c r="P15" t="str">
        <v>complete_050_110x5995_100_50</v>
      </c>
      <c r="Q15" t="str">
        <v>Complete</v>
      </c>
      <c r="R15">
        <v>110</v>
      </c>
      <c r="S15">
        <v>5995</v>
      </c>
      <c r="T15">
        <v>2929</v>
      </c>
      <c r="U15">
        <v>3066</v>
      </c>
      <c r="V15" s="34">
        <v>0.51</v>
      </c>
      <c r="W15" s="34">
        <v>1</v>
      </c>
    </row>
    <row r="16" spans="1:23" x14ac:dyDescent="0.25">
      <c r="A16" t="s">
        <v>409</v>
      </c>
      <c r="B16" t="s">
        <v>109</v>
      </c>
      <c r="C16">
        <v>30</v>
      </c>
      <c r="D16">
        <v>435</v>
      </c>
      <c r="E16">
        <v>87</v>
      </c>
      <c r="F16">
        <v>348</v>
      </c>
      <c r="G16" s="34">
        <v>0.8</v>
      </c>
      <c r="H16" s="34">
        <v>1</v>
      </c>
      <c r="M16" s="36" t="s">
        <v>445</v>
      </c>
      <c r="N16" t="s">
        <v>445</v>
      </c>
      <c r="P16" t="str">
        <v>complete_051_110x5995_100_80</v>
      </c>
      <c r="Q16" t="str">
        <v>Complete</v>
      </c>
      <c r="R16">
        <v>110</v>
      </c>
      <c r="S16">
        <v>5995</v>
      </c>
      <c r="T16">
        <v>1194</v>
      </c>
      <c r="U16">
        <v>4801</v>
      </c>
      <c r="V16" s="34">
        <v>0.8</v>
      </c>
      <c r="W16" s="34">
        <v>1</v>
      </c>
    </row>
    <row r="17" spans="1:23" x14ac:dyDescent="0.25">
      <c r="A17" t="s">
        <v>410</v>
      </c>
      <c r="B17" t="s">
        <v>109</v>
      </c>
      <c r="C17">
        <v>30</v>
      </c>
      <c r="D17">
        <v>435</v>
      </c>
      <c r="E17">
        <v>351</v>
      </c>
      <c r="F17">
        <v>84</v>
      </c>
      <c r="G17" s="34">
        <v>0.19</v>
      </c>
      <c r="H17" s="34">
        <v>1</v>
      </c>
      <c r="M17" s="36" t="s">
        <v>446</v>
      </c>
      <c r="N17" t="s">
        <v>446</v>
      </c>
      <c r="P17" t="str">
        <v>complete_052_110x5995_100_20</v>
      </c>
      <c r="Q17" t="str">
        <v>Complete</v>
      </c>
      <c r="R17">
        <v>110</v>
      </c>
      <c r="S17">
        <v>5995</v>
      </c>
      <c r="T17">
        <v>4784</v>
      </c>
      <c r="U17">
        <v>1211</v>
      </c>
      <c r="V17" s="34">
        <v>0.2</v>
      </c>
      <c r="W17" s="34">
        <v>1</v>
      </c>
    </row>
    <row r="18" spans="1:23" x14ac:dyDescent="0.25">
      <c r="A18" t="s">
        <v>411</v>
      </c>
      <c r="B18" t="s">
        <v>109</v>
      </c>
      <c r="C18">
        <v>30</v>
      </c>
      <c r="D18">
        <v>435</v>
      </c>
      <c r="E18">
        <v>212</v>
      </c>
      <c r="F18">
        <v>223</v>
      </c>
      <c r="G18" s="34">
        <v>0.51</v>
      </c>
      <c r="H18" s="34">
        <v>1</v>
      </c>
      <c r="M18" s="36" t="s">
        <v>447</v>
      </c>
      <c r="N18" t="s">
        <v>447</v>
      </c>
      <c r="P18" t="str">
        <v>complete_053_110x5995_100_50</v>
      </c>
      <c r="Q18" t="str">
        <v>Complete</v>
      </c>
      <c r="R18">
        <v>110</v>
      </c>
      <c r="S18">
        <v>5995</v>
      </c>
      <c r="T18">
        <v>3034</v>
      </c>
      <c r="U18">
        <v>2961</v>
      </c>
      <c r="V18" s="34">
        <v>0.49</v>
      </c>
      <c r="W18" s="34">
        <v>1</v>
      </c>
    </row>
    <row r="19" spans="1:23" x14ac:dyDescent="0.25">
      <c r="A19" t="s">
        <v>412</v>
      </c>
      <c r="B19" t="s">
        <v>109</v>
      </c>
      <c r="C19">
        <v>30</v>
      </c>
      <c r="D19">
        <v>435</v>
      </c>
      <c r="E19">
        <v>90</v>
      </c>
      <c r="F19">
        <v>345</v>
      </c>
      <c r="G19" s="34">
        <v>0.79</v>
      </c>
      <c r="H19" s="34">
        <v>1</v>
      </c>
      <c r="M19" s="36" t="s">
        <v>448</v>
      </c>
      <c r="N19" t="s">
        <v>448</v>
      </c>
      <c r="P19" t="str">
        <v>complete_054_110x5995_100_80</v>
      </c>
      <c r="Q19" t="str">
        <v>Complete</v>
      </c>
      <c r="R19">
        <v>110</v>
      </c>
      <c r="S19">
        <v>5995</v>
      </c>
      <c r="T19">
        <v>1212</v>
      </c>
      <c r="U19">
        <v>4783</v>
      </c>
      <c r="V19" s="34">
        <v>0.8</v>
      </c>
      <c r="W19" s="34">
        <v>1</v>
      </c>
    </row>
    <row r="20" spans="1:23" x14ac:dyDescent="0.25">
      <c r="A20" t="s">
        <v>413</v>
      </c>
      <c r="B20" t="s">
        <v>109</v>
      </c>
      <c r="C20">
        <v>50</v>
      </c>
      <c r="D20">
        <v>1225</v>
      </c>
      <c r="E20">
        <v>979</v>
      </c>
      <c r="F20">
        <v>246</v>
      </c>
      <c r="G20" s="34">
        <v>0.2</v>
      </c>
      <c r="H20" s="34">
        <v>1</v>
      </c>
      <c r="M20" s="36" t="s">
        <v>494</v>
      </c>
      <c r="N20" t="s">
        <v>494</v>
      </c>
      <c r="P20" t="str">
        <v>complete_100_230x26335_100_20</v>
      </c>
      <c r="Q20" t="str">
        <v>Complete</v>
      </c>
      <c r="R20">
        <v>230</v>
      </c>
      <c r="S20">
        <v>26335</v>
      </c>
      <c r="T20">
        <v>20972</v>
      </c>
      <c r="U20">
        <v>5363</v>
      </c>
      <c r="V20" s="34">
        <v>0.2</v>
      </c>
      <c r="W20" s="34">
        <v>1</v>
      </c>
    </row>
    <row r="21" spans="1:23" x14ac:dyDescent="0.25">
      <c r="A21" t="s">
        <v>414</v>
      </c>
      <c r="B21" t="s">
        <v>109</v>
      </c>
      <c r="C21">
        <v>50</v>
      </c>
      <c r="D21">
        <v>1225</v>
      </c>
      <c r="E21">
        <v>626</v>
      </c>
      <c r="F21">
        <v>599</v>
      </c>
      <c r="G21" s="34">
        <v>0.49</v>
      </c>
      <c r="H21" s="34">
        <v>1</v>
      </c>
      <c r="M21" s="36" t="s">
        <v>495</v>
      </c>
      <c r="N21" t="s">
        <v>495</v>
      </c>
      <c r="P21" t="str">
        <v>complete_101_230x26335_100_50</v>
      </c>
      <c r="Q21" t="str">
        <v>Complete</v>
      </c>
      <c r="R21">
        <v>230</v>
      </c>
      <c r="S21">
        <v>26335</v>
      </c>
      <c r="T21">
        <v>13244</v>
      </c>
      <c r="U21">
        <v>13091</v>
      </c>
      <c r="V21" s="34">
        <v>0.5</v>
      </c>
      <c r="W21" s="34">
        <v>1</v>
      </c>
    </row>
    <row r="22" spans="1:23" x14ac:dyDescent="0.25">
      <c r="A22" t="s">
        <v>415</v>
      </c>
      <c r="B22" t="s">
        <v>109</v>
      </c>
      <c r="C22">
        <v>50</v>
      </c>
      <c r="D22">
        <v>1225</v>
      </c>
      <c r="E22">
        <v>254</v>
      </c>
      <c r="F22">
        <v>971</v>
      </c>
      <c r="G22" s="34">
        <v>0.79</v>
      </c>
      <c r="H22" s="34">
        <v>1</v>
      </c>
      <c r="M22" s="36" t="s">
        <v>496</v>
      </c>
      <c r="N22" t="s">
        <v>496</v>
      </c>
      <c r="P22" t="str">
        <v>complete_102_230x26335_100_80</v>
      </c>
      <c r="Q22" t="str">
        <v>Complete</v>
      </c>
      <c r="R22">
        <v>230</v>
      </c>
      <c r="S22">
        <v>26335</v>
      </c>
      <c r="T22">
        <v>5247</v>
      </c>
      <c r="U22">
        <v>21088</v>
      </c>
      <c r="V22" s="34">
        <v>0.8</v>
      </c>
      <c r="W22" s="34">
        <v>1</v>
      </c>
    </row>
    <row r="23" spans="1:23" x14ac:dyDescent="0.25">
      <c r="A23" t="s">
        <v>416</v>
      </c>
      <c r="B23" t="s">
        <v>109</v>
      </c>
      <c r="C23">
        <v>50</v>
      </c>
      <c r="D23">
        <v>1225</v>
      </c>
      <c r="E23">
        <v>976</v>
      </c>
      <c r="F23">
        <v>249</v>
      </c>
      <c r="G23" s="34">
        <v>0.2</v>
      </c>
      <c r="H23" s="34">
        <v>1</v>
      </c>
      <c r="M23" s="36" t="s">
        <v>497</v>
      </c>
      <c r="N23" t="s">
        <v>497</v>
      </c>
      <c r="P23" t="str">
        <v>complete_103_230x26335_100_20</v>
      </c>
      <c r="Q23" t="str">
        <v>Complete</v>
      </c>
      <c r="R23">
        <v>230</v>
      </c>
      <c r="S23">
        <v>26335</v>
      </c>
      <c r="T23">
        <v>21070</v>
      </c>
      <c r="U23">
        <v>5265</v>
      </c>
      <c r="V23" s="34">
        <v>0.2</v>
      </c>
      <c r="W23" s="34">
        <v>1</v>
      </c>
    </row>
    <row r="24" spans="1:23" x14ac:dyDescent="0.25">
      <c r="A24" t="s">
        <v>417</v>
      </c>
      <c r="B24" t="s">
        <v>109</v>
      </c>
      <c r="C24">
        <v>50</v>
      </c>
      <c r="D24">
        <v>1225</v>
      </c>
      <c r="E24">
        <v>589</v>
      </c>
      <c r="F24">
        <v>636</v>
      </c>
      <c r="G24" s="34">
        <v>0.52</v>
      </c>
      <c r="H24" s="34">
        <v>1</v>
      </c>
      <c r="M24" s="36" t="s">
        <v>498</v>
      </c>
      <c r="N24" t="s">
        <v>498</v>
      </c>
      <c r="P24" t="str">
        <v>complete_104_230x26335_100_50</v>
      </c>
      <c r="Q24" t="str">
        <v>Complete</v>
      </c>
      <c r="R24">
        <v>230</v>
      </c>
      <c r="S24">
        <v>26335</v>
      </c>
      <c r="T24">
        <v>13059</v>
      </c>
      <c r="U24">
        <v>13276</v>
      </c>
      <c r="V24" s="34">
        <v>0.5</v>
      </c>
      <c r="W24" s="34">
        <v>1</v>
      </c>
    </row>
    <row r="25" spans="1:23" x14ac:dyDescent="0.25">
      <c r="A25" t="s">
        <v>418</v>
      </c>
      <c r="B25" t="s">
        <v>109</v>
      </c>
      <c r="C25">
        <v>50</v>
      </c>
      <c r="D25">
        <v>1225</v>
      </c>
      <c r="E25">
        <v>241</v>
      </c>
      <c r="F25">
        <v>984</v>
      </c>
      <c r="G25" s="34">
        <v>0.8</v>
      </c>
      <c r="H25" s="34">
        <v>1</v>
      </c>
      <c r="M25" s="36" t="s">
        <v>499</v>
      </c>
      <c r="N25" t="s">
        <v>499</v>
      </c>
      <c r="P25" t="str">
        <v>complete_105_230x26335_100_80</v>
      </c>
      <c r="Q25" t="str">
        <v>Complete</v>
      </c>
      <c r="R25">
        <v>230</v>
      </c>
      <c r="S25">
        <v>26335</v>
      </c>
      <c r="T25">
        <v>5233</v>
      </c>
      <c r="U25">
        <v>21102</v>
      </c>
      <c r="V25" s="34">
        <v>0.8</v>
      </c>
      <c r="W25" s="34">
        <v>1</v>
      </c>
    </row>
    <row r="26" spans="1:23" x14ac:dyDescent="0.25">
      <c r="A26" t="s">
        <v>419</v>
      </c>
      <c r="B26" t="s">
        <v>109</v>
      </c>
      <c r="C26">
        <v>50</v>
      </c>
      <c r="D26">
        <v>1225</v>
      </c>
      <c r="E26">
        <v>965</v>
      </c>
      <c r="F26">
        <v>260</v>
      </c>
      <c r="G26" s="34">
        <v>0.21</v>
      </c>
      <c r="H26" s="34">
        <v>1</v>
      </c>
      <c r="M26" s="36" t="s">
        <v>500</v>
      </c>
      <c r="N26" t="s">
        <v>500</v>
      </c>
      <c r="P26" t="str">
        <v>complete_106_230x26335_100_20</v>
      </c>
      <c r="Q26" t="str">
        <v>Complete</v>
      </c>
      <c r="R26">
        <v>230</v>
      </c>
      <c r="S26">
        <v>26335</v>
      </c>
      <c r="T26">
        <v>21107</v>
      </c>
      <c r="U26">
        <v>5228</v>
      </c>
      <c r="V26" s="34">
        <v>0.2</v>
      </c>
      <c r="W26" s="34">
        <v>1</v>
      </c>
    </row>
    <row r="27" spans="1:23" x14ac:dyDescent="0.25">
      <c r="A27" t="s">
        <v>420</v>
      </c>
      <c r="B27" t="s">
        <v>109</v>
      </c>
      <c r="C27">
        <v>50</v>
      </c>
      <c r="D27">
        <v>1225</v>
      </c>
      <c r="E27">
        <v>598</v>
      </c>
      <c r="F27">
        <v>627</v>
      </c>
      <c r="G27" s="34">
        <v>0.51</v>
      </c>
      <c r="H27" s="34">
        <v>1</v>
      </c>
      <c r="M27" s="36" t="s">
        <v>501</v>
      </c>
      <c r="N27" t="s">
        <v>501</v>
      </c>
      <c r="P27" t="str">
        <v>complete_107_230x26335_100_50</v>
      </c>
      <c r="Q27" t="str">
        <v>Complete</v>
      </c>
      <c r="R27">
        <v>230</v>
      </c>
      <c r="S27">
        <v>26335</v>
      </c>
      <c r="T27">
        <v>13252</v>
      </c>
      <c r="U27">
        <v>13083</v>
      </c>
      <c r="V27" s="34">
        <v>0.5</v>
      </c>
      <c r="W27" s="34">
        <v>1</v>
      </c>
    </row>
    <row r="28" spans="1:23" ht="15.75" thickBot="1" x14ac:dyDescent="0.3">
      <c r="A28" t="s">
        <v>421</v>
      </c>
      <c r="B28" t="s">
        <v>109</v>
      </c>
      <c r="C28">
        <v>50</v>
      </c>
      <c r="D28">
        <v>1225</v>
      </c>
      <c r="E28">
        <v>258</v>
      </c>
      <c r="F28">
        <v>967</v>
      </c>
      <c r="G28" s="34">
        <v>0.79</v>
      </c>
      <c r="H28" s="34">
        <v>1</v>
      </c>
      <c r="M28" s="36" t="s">
        <v>502</v>
      </c>
      <c r="N28" s="27" t="s">
        <v>502</v>
      </c>
      <c r="P28" t="str">
        <v>complete_108_230x26335_100_80</v>
      </c>
      <c r="Q28" t="str">
        <v>Complete</v>
      </c>
      <c r="R28">
        <v>230</v>
      </c>
      <c r="S28">
        <v>26335</v>
      </c>
      <c r="T28">
        <v>5254</v>
      </c>
      <c r="U28">
        <v>21081</v>
      </c>
      <c r="V28" s="34">
        <v>0.8</v>
      </c>
      <c r="W28" s="34">
        <v>1</v>
      </c>
    </row>
    <row r="29" spans="1:23" x14ac:dyDescent="0.25">
      <c r="A29" t="s">
        <v>422</v>
      </c>
      <c r="B29" t="s">
        <v>109</v>
      </c>
      <c r="C29">
        <v>70</v>
      </c>
      <c r="D29">
        <v>2415</v>
      </c>
      <c r="E29">
        <v>1892</v>
      </c>
      <c r="F29">
        <v>523</v>
      </c>
      <c r="G29" s="34">
        <v>0.22</v>
      </c>
      <c r="H29" s="34">
        <v>1</v>
      </c>
      <c r="M29" s="36" t="s">
        <v>512</v>
      </c>
      <c r="N29" t="s">
        <v>512</v>
      </c>
      <c r="P29" t="str">
        <v>interval_010_30x106_20_20</v>
      </c>
      <c r="Q29" t="str">
        <v>Interval</v>
      </c>
      <c r="R29">
        <v>30</v>
      </c>
      <c r="S29">
        <v>106</v>
      </c>
      <c r="T29">
        <v>89</v>
      </c>
      <c r="U29">
        <v>17</v>
      </c>
      <c r="V29" s="34">
        <v>0.16</v>
      </c>
      <c r="W29" s="34">
        <v>0.24</v>
      </c>
    </row>
    <row r="30" spans="1:23" x14ac:dyDescent="0.25">
      <c r="A30" t="s">
        <v>423</v>
      </c>
      <c r="B30" t="s">
        <v>109</v>
      </c>
      <c r="C30">
        <v>70</v>
      </c>
      <c r="D30">
        <v>2415</v>
      </c>
      <c r="E30">
        <v>1165</v>
      </c>
      <c r="F30">
        <v>1250</v>
      </c>
      <c r="G30" s="34">
        <v>0.52</v>
      </c>
      <c r="H30" s="34">
        <v>1</v>
      </c>
      <c r="M30" s="36" t="s">
        <v>513</v>
      </c>
      <c r="N30" t="s">
        <v>513</v>
      </c>
      <c r="P30" t="str">
        <v>interval_011_30x85_20_50</v>
      </c>
      <c r="Q30" t="str">
        <v>Interval</v>
      </c>
      <c r="R30">
        <v>30</v>
      </c>
      <c r="S30">
        <v>85</v>
      </c>
      <c r="T30">
        <v>42</v>
      </c>
      <c r="U30">
        <v>43</v>
      </c>
      <c r="V30" s="34">
        <v>0.51</v>
      </c>
      <c r="W30" s="34">
        <v>0.2</v>
      </c>
    </row>
    <row r="31" spans="1:23" x14ac:dyDescent="0.25">
      <c r="A31" t="s">
        <v>424</v>
      </c>
      <c r="B31" t="s">
        <v>109</v>
      </c>
      <c r="C31">
        <v>70</v>
      </c>
      <c r="D31">
        <v>2415</v>
      </c>
      <c r="E31">
        <v>483</v>
      </c>
      <c r="F31">
        <v>1932</v>
      </c>
      <c r="G31" s="34">
        <v>0.8</v>
      </c>
      <c r="H31" s="34">
        <v>1</v>
      </c>
      <c r="M31" s="36" t="s">
        <v>514</v>
      </c>
      <c r="N31" t="s">
        <v>514</v>
      </c>
      <c r="P31" t="str">
        <v>interval_012_30x83_20_80</v>
      </c>
      <c r="Q31" t="str">
        <v>Interval</v>
      </c>
      <c r="R31">
        <v>30</v>
      </c>
      <c r="S31">
        <v>83</v>
      </c>
      <c r="T31">
        <v>14</v>
      </c>
      <c r="U31">
        <v>69</v>
      </c>
      <c r="V31" s="34">
        <v>0.83</v>
      </c>
      <c r="W31" s="34">
        <v>0.19</v>
      </c>
    </row>
    <row r="32" spans="1:23" x14ac:dyDescent="0.25">
      <c r="A32" t="s">
        <v>425</v>
      </c>
      <c r="B32" t="s">
        <v>109</v>
      </c>
      <c r="C32">
        <v>70</v>
      </c>
      <c r="D32">
        <v>2415</v>
      </c>
      <c r="E32">
        <v>1954</v>
      </c>
      <c r="F32">
        <v>461</v>
      </c>
      <c r="G32" s="34">
        <v>0.19</v>
      </c>
      <c r="H32" s="34">
        <v>1</v>
      </c>
      <c r="M32" s="36" t="s">
        <v>515</v>
      </c>
      <c r="N32" t="s">
        <v>515</v>
      </c>
      <c r="P32" t="str">
        <v>interval_013_30x227_50_20</v>
      </c>
      <c r="Q32" t="str">
        <v>Interval</v>
      </c>
      <c r="R32">
        <v>30</v>
      </c>
      <c r="S32">
        <v>227</v>
      </c>
      <c r="T32">
        <v>184</v>
      </c>
      <c r="U32">
        <v>43</v>
      </c>
      <c r="V32" s="34">
        <v>0.19</v>
      </c>
      <c r="W32" s="34">
        <v>0.52</v>
      </c>
    </row>
    <row r="33" spans="1:23" x14ac:dyDescent="0.25">
      <c r="A33" t="s">
        <v>426</v>
      </c>
      <c r="B33" t="s">
        <v>109</v>
      </c>
      <c r="C33">
        <v>70</v>
      </c>
      <c r="D33">
        <v>2415</v>
      </c>
      <c r="E33">
        <v>1202</v>
      </c>
      <c r="F33">
        <v>1213</v>
      </c>
      <c r="G33" s="34">
        <v>0.5</v>
      </c>
      <c r="H33" s="34">
        <v>1</v>
      </c>
      <c r="M33" s="36" t="s">
        <v>516</v>
      </c>
      <c r="N33" t="s">
        <v>516</v>
      </c>
      <c r="P33" t="str">
        <v>interval_014_30x216_50_50</v>
      </c>
      <c r="Q33" t="str">
        <v>Interval</v>
      </c>
      <c r="R33">
        <v>30</v>
      </c>
      <c r="S33">
        <v>216</v>
      </c>
      <c r="T33">
        <v>108</v>
      </c>
      <c r="U33">
        <v>108</v>
      </c>
      <c r="V33" s="34">
        <v>0.5</v>
      </c>
      <c r="W33" s="34">
        <v>0.5</v>
      </c>
    </row>
    <row r="34" spans="1:23" x14ac:dyDescent="0.25">
      <c r="A34" t="s">
        <v>427</v>
      </c>
      <c r="B34" t="s">
        <v>109</v>
      </c>
      <c r="C34">
        <v>70</v>
      </c>
      <c r="D34">
        <v>2415</v>
      </c>
      <c r="E34">
        <v>497</v>
      </c>
      <c r="F34">
        <v>1918</v>
      </c>
      <c r="G34" s="34">
        <v>0.79</v>
      </c>
      <c r="H34" s="34">
        <v>1</v>
      </c>
      <c r="M34" s="36" t="s">
        <v>517</v>
      </c>
      <c r="N34" t="s">
        <v>517</v>
      </c>
      <c r="P34" t="str">
        <v>interval_015_30x216_50_80</v>
      </c>
      <c r="Q34" t="str">
        <v>Interval</v>
      </c>
      <c r="R34">
        <v>30</v>
      </c>
      <c r="S34">
        <v>216</v>
      </c>
      <c r="T34">
        <v>42</v>
      </c>
      <c r="U34">
        <v>174</v>
      </c>
      <c r="V34" s="34">
        <v>0.81</v>
      </c>
      <c r="W34" s="34">
        <v>0.5</v>
      </c>
    </row>
    <row r="35" spans="1:23" x14ac:dyDescent="0.25">
      <c r="A35" t="s">
        <v>428</v>
      </c>
      <c r="B35" t="s">
        <v>109</v>
      </c>
      <c r="C35">
        <v>70</v>
      </c>
      <c r="D35">
        <v>2415</v>
      </c>
      <c r="E35">
        <v>1917</v>
      </c>
      <c r="F35">
        <v>498</v>
      </c>
      <c r="G35" s="34">
        <v>0.21</v>
      </c>
      <c r="H35" s="34">
        <v>1</v>
      </c>
      <c r="M35" s="36" t="s">
        <v>518</v>
      </c>
      <c r="N35" t="s">
        <v>518</v>
      </c>
      <c r="P35" t="str">
        <v>interval_016_30x348_80_20</v>
      </c>
      <c r="Q35" t="str">
        <v>Interval</v>
      </c>
      <c r="R35">
        <v>30</v>
      </c>
      <c r="S35">
        <v>348</v>
      </c>
      <c r="T35">
        <v>279</v>
      </c>
      <c r="U35">
        <v>69</v>
      </c>
      <c r="V35" s="34">
        <v>0.2</v>
      </c>
      <c r="W35" s="34">
        <v>0.8</v>
      </c>
    </row>
    <row r="36" spans="1:23" x14ac:dyDescent="0.25">
      <c r="A36" t="s">
        <v>429</v>
      </c>
      <c r="B36" t="s">
        <v>109</v>
      </c>
      <c r="C36">
        <v>70</v>
      </c>
      <c r="D36">
        <v>2415</v>
      </c>
      <c r="E36">
        <v>1205</v>
      </c>
      <c r="F36">
        <v>1210</v>
      </c>
      <c r="G36" s="34">
        <v>0.5</v>
      </c>
      <c r="H36" s="34">
        <v>1</v>
      </c>
      <c r="M36" s="36" t="s">
        <v>519</v>
      </c>
      <c r="N36" t="s">
        <v>519</v>
      </c>
      <c r="P36" t="str">
        <v>interval_017_30x345_80_50</v>
      </c>
      <c r="Q36" t="str">
        <v>Interval</v>
      </c>
      <c r="R36">
        <v>30</v>
      </c>
      <c r="S36">
        <v>345</v>
      </c>
      <c r="T36">
        <v>171</v>
      </c>
      <c r="U36">
        <v>174</v>
      </c>
      <c r="V36" s="34">
        <v>0.5</v>
      </c>
      <c r="W36" s="34">
        <v>0.79</v>
      </c>
    </row>
    <row r="37" spans="1:23" x14ac:dyDescent="0.25">
      <c r="A37" t="s">
        <v>430</v>
      </c>
      <c r="B37" t="s">
        <v>109</v>
      </c>
      <c r="C37">
        <v>70</v>
      </c>
      <c r="D37">
        <v>2415</v>
      </c>
      <c r="E37">
        <v>476</v>
      </c>
      <c r="F37">
        <v>1939</v>
      </c>
      <c r="G37" s="34">
        <v>0.8</v>
      </c>
      <c r="H37" s="34">
        <v>1</v>
      </c>
      <c r="M37" s="36" t="s">
        <v>520</v>
      </c>
      <c r="N37" t="s">
        <v>520</v>
      </c>
      <c r="P37" t="str">
        <v>interval_018_30x348_80_80</v>
      </c>
      <c r="Q37" t="str">
        <v>Interval</v>
      </c>
      <c r="R37">
        <v>30</v>
      </c>
      <c r="S37">
        <v>348</v>
      </c>
      <c r="T37">
        <v>70</v>
      </c>
      <c r="U37">
        <v>278</v>
      </c>
      <c r="V37" s="34">
        <v>0.8</v>
      </c>
      <c r="W37" s="34">
        <v>0.8</v>
      </c>
    </row>
    <row r="38" spans="1:23" x14ac:dyDescent="0.25">
      <c r="A38" t="s">
        <v>431</v>
      </c>
      <c r="B38" t="s">
        <v>109</v>
      </c>
      <c r="C38">
        <v>90</v>
      </c>
      <c r="D38">
        <v>4005</v>
      </c>
      <c r="E38">
        <v>3219</v>
      </c>
      <c r="F38">
        <v>786</v>
      </c>
      <c r="G38" s="34">
        <v>0.2</v>
      </c>
      <c r="H38" s="34">
        <v>1</v>
      </c>
      <c r="M38" s="36" t="s">
        <v>548</v>
      </c>
      <c r="N38" t="s">
        <v>548</v>
      </c>
      <c r="P38" t="str">
        <v>interval_046_110x1257_20_20</v>
      </c>
      <c r="Q38" t="str">
        <v>Interval</v>
      </c>
      <c r="R38">
        <v>110</v>
      </c>
      <c r="S38">
        <v>1257</v>
      </c>
      <c r="T38">
        <v>1018</v>
      </c>
      <c r="U38">
        <v>239</v>
      </c>
      <c r="V38" s="34">
        <v>0.19</v>
      </c>
      <c r="W38" s="34">
        <v>0.21</v>
      </c>
    </row>
    <row r="39" spans="1:23" x14ac:dyDescent="0.25">
      <c r="A39" t="s">
        <v>432</v>
      </c>
      <c r="B39" t="s">
        <v>109</v>
      </c>
      <c r="C39">
        <v>90</v>
      </c>
      <c r="D39">
        <v>4005</v>
      </c>
      <c r="E39">
        <v>2061</v>
      </c>
      <c r="F39">
        <v>1944</v>
      </c>
      <c r="G39" s="34">
        <v>0.49</v>
      </c>
      <c r="H39" s="34">
        <v>1</v>
      </c>
      <c r="M39" s="36" t="s">
        <v>549</v>
      </c>
      <c r="N39" t="s">
        <v>549</v>
      </c>
      <c r="P39" t="str">
        <v>interval_047_110x1244_20_50</v>
      </c>
      <c r="Q39" t="str">
        <v>Interval</v>
      </c>
      <c r="R39">
        <v>110</v>
      </c>
      <c r="S39">
        <v>1244</v>
      </c>
      <c r="T39">
        <v>645</v>
      </c>
      <c r="U39">
        <v>599</v>
      </c>
      <c r="V39" s="34">
        <v>0.48</v>
      </c>
      <c r="W39" s="34">
        <v>0.21</v>
      </c>
    </row>
    <row r="40" spans="1:23" x14ac:dyDescent="0.25">
      <c r="A40" t="s">
        <v>433</v>
      </c>
      <c r="B40" t="s">
        <v>109</v>
      </c>
      <c r="C40">
        <v>90</v>
      </c>
      <c r="D40">
        <v>4005</v>
      </c>
      <c r="E40">
        <v>828</v>
      </c>
      <c r="F40">
        <v>3177</v>
      </c>
      <c r="G40" s="34">
        <v>0.79</v>
      </c>
      <c r="H40" s="34">
        <v>1</v>
      </c>
      <c r="M40" s="36" t="s">
        <v>550</v>
      </c>
      <c r="N40" t="s">
        <v>550</v>
      </c>
      <c r="P40" t="str">
        <v>interval_048_110x1212_20_80</v>
      </c>
      <c r="Q40" t="str">
        <v>Interval</v>
      </c>
      <c r="R40">
        <v>110</v>
      </c>
      <c r="S40">
        <v>1212</v>
      </c>
      <c r="T40">
        <v>253</v>
      </c>
      <c r="U40">
        <v>959</v>
      </c>
      <c r="V40" s="34">
        <v>0.79</v>
      </c>
      <c r="W40" s="34">
        <v>0.2</v>
      </c>
    </row>
    <row r="41" spans="1:23" x14ac:dyDescent="0.25">
      <c r="A41" t="s">
        <v>434</v>
      </c>
      <c r="B41" t="s">
        <v>109</v>
      </c>
      <c r="C41">
        <v>90</v>
      </c>
      <c r="D41">
        <v>4005</v>
      </c>
      <c r="E41">
        <v>3175</v>
      </c>
      <c r="F41">
        <v>830</v>
      </c>
      <c r="G41" s="34">
        <v>0.21</v>
      </c>
      <c r="H41" s="34">
        <v>1</v>
      </c>
      <c r="M41" s="36" t="s">
        <v>551</v>
      </c>
      <c r="N41" t="s">
        <v>551</v>
      </c>
      <c r="P41" t="str">
        <v>interval_049_110x3180_50_20</v>
      </c>
      <c r="Q41" t="str">
        <v>Interval</v>
      </c>
      <c r="R41">
        <v>110</v>
      </c>
      <c r="S41">
        <v>3180</v>
      </c>
      <c r="T41">
        <v>2581</v>
      </c>
      <c r="U41">
        <v>599</v>
      </c>
      <c r="V41" s="34">
        <v>0.19</v>
      </c>
      <c r="W41" s="34">
        <v>0.53</v>
      </c>
    </row>
    <row r="42" spans="1:23" x14ac:dyDescent="0.25">
      <c r="A42" t="s">
        <v>435</v>
      </c>
      <c r="B42" t="s">
        <v>109</v>
      </c>
      <c r="C42">
        <v>90</v>
      </c>
      <c r="D42">
        <v>4005</v>
      </c>
      <c r="E42">
        <v>1999</v>
      </c>
      <c r="F42">
        <v>2006</v>
      </c>
      <c r="G42" s="34">
        <v>0.5</v>
      </c>
      <c r="H42" s="34">
        <v>1</v>
      </c>
      <c r="M42" s="36" t="s">
        <v>552</v>
      </c>
      <c r="N42" t="s">
        <v>552</v>
      </c>
      <c r="P42" t="str">
        <v>interval_050_110x3020_50_50</v>
      </c>
      <c r="Q42" t="str">
        <v>Interval</v>
      </c>
      <c r="R42">
        <v>110</v>
      </c>
      <c r="S42">
        <v>3020</v>
      </c>
      <c r="T42">
        <v>1522</v>
      </c>
      <c r="U42">
        <v>1498</v>
      </c>
      <c r="V42" s="34">
        <v>0.5</v>
      </c>
      <c r="W42" s="34">
        <v>0.5</v>
      </c>
    </row>
    <row r="43" spans="1:23" x14ac:dyDescent="0.25">
      <c r="A43" t="s">
        <v>436</v>
      </c>
      <c r="B43" t="s">
        <v>109</v>
      </c>
      <c r="C43">
        <v>90</v>
      </c>
      <c r="D43">
        <v>4005</v>
      </c>
      <c r="E43">
        <v>777</v>
      </c>
      <c r="F43">
        <v>3228</v>
      </c>
      <c r="G43" s="34">
        <v>0.81</v>
      </c>
      <c r="H43" s="34">
        <v>1</v>
      </c>
      <c r="M43" s="36" t="s">
        <v>553</v>
      </c>
      <c r="N43" t="s">
        <v>553</v>
      </c>
      <c r="P43" t="str">
        <v>interval_051_110x3016_50_80</v>
      </c>
      <c r="Q43" t="str">
        <v>Interval</v>
      </c>
      <c r="R43">
        <v>110</v>
      </c>
      <c r="S43">
        <v>3016</v>
      </c>
      <c r="T43">
        <v>618</v>
      </c>
      <c r="U43">
        <v>2398</v>
      </c>
      <c r="V43" s="34">
        <v>0.8</v>
      </c>
      <c r="W43" s="34">
        <v>0.5</v>
      </c>
    </row>
    <row r="44" spans="1:23" x14ac:dyDescent="0.25">
      <c r="A44" t="s">
        <v>437</v>
      </c>
      <c r="B44" t="s">
        <v>109</v>
      </c>
      <c r="C44">
        <v>90</v>
      </c>
      <c r="D44">
        <v>4005</v>
      </c>
      <c r="E44">
        <v>3218</v>
      </c>
      <c r="F44">
        <v>787</v>
      </c>
      <c r="G44" s="34">
        <v>0.2</v>
      </c>
      <c r="H44" s="34">
        <v>1</v>
      </c>
      <c r="M44" s="36" t="s">
        <v>554</v>
      </c>
      <c r="N44" t="s">
        <v>554</v>
      </c>
      <c r="P44" t="str">
        <v>interval_052_110x5110_80_20</v>
      </c>
      <c r="Q44" t="str">
        <v>Interval</v>
      </c>
      <c r="R44">
        <v>110</v>
      </c>
      <c r="S44">
        <v>5110</v>
      </c>
      <c r="T44">
        <v>4151</v>
      </c>
      <c r="U44">
        <v>959</v>
      </c>
      <c r="V44" s="34">
        <v>0.19</v>
      </c>
      <c r="W44" s="34">
        <v>0.85</v>
      </c>
    </row>
    <row r="45" spans="1:23" x14ac:dyDescent="0.25">
      <c r="A45" t="s">
        <v>438</v>
      </c>
      <c r="B45" t="s">
        <v>109</v>
      </c>
      <c r="C45">
        <v>90</v>
      </c>
      <c r="D45">
        <v>4005</v>
      </c>
      <c r="E45">
        <v>2081</v>
      </c>
      <c r="F45">
        <v>1924</v>
      </c>
      <c r="G45" s="34">
        <v>0.48</v>
      </c>
      <c r="H45" s="34">
        <v>1</v>
      </c>
      <c r="M45" s="36" t="s">
        <v>555</v>
      </c>
      <c r="N45" t="s">
        <v>555</v>
      </c>
      <c r="P45" t="str">
        <v>interval_053_110x4928_80_50</v>
      </c>
      <c r="Q45" t="str">
        <v>Interval</v>
      </c>
      <c r="R45">
        <v>110</v>
      </c>
      <c r="S45">
        <v>4928</v>
      </c>
      <c r="T45">
        <v>2530</v>
      </c>
      <c r="U45">
        <v>2398</v>
      </c>
      <c r="V45" s="34">
        <v>0.49</v>
      </c>
      <c r="W45" s="34">
        <v>0.82</v>
      </c>
    </row>
    <row r="46" spans="1:23" x14ac:dyDescent="0.25">
      <c r="A46" t="s">
        <v>439</v>
      </c>
      <c r="B46" t="s">
        <v>109</v>
      </c>
      <c r="C46">
        <v>90</v>
      </c>
      <c r="D46">
        <v>4005</v>
      </c>
      <c r="E46">
        <v>799</v>
      </c>
      <c r="F46">
        <v>3206</v>
      </c>
      <c r="G46" s="34">
        <v>0.8</v>
      </c>
      <c r="H46" s="34">
        <v>1</v>
      </c>
      <c r="M46" s="36" t="s">
        <v>556</v>
      </c>
      <c r="N46" t="s">
        <v>556</v>
      </c>
      <c r="P46" t="str">
        <v>interval_054_110x4844_80_80</v>
      </c>
      <c r="Q46" t="str">
        <v>Interval</v>
      </c>
      <c r="R46">
        <v>110</v>
      </c>
      <c r="S46">
        <v>4844</v>
      </c>
      <c r="T46">
        <v>1008</v>
      </c>
      <c r="U46">
        <v>3836</v>
      </c>
      <c r="V46" s="34">
        <v>0.79</v>
      </c>
      <c r="W46" s="34">
        <v>0.81</v>
      </c>
    </row>
    <row r="47" spans="1:23" x14ac:dyDescent="0.25">
      <c r="A47" t="s">
        <v>440</v>
      </c>
      <c r="B47" t="s">
        <v>109</v>
      </c>
      <c r="C47">
        <v>110</v>
      </c>
      <c r="D47">
        <v>5995</v>
      </c>
      <c r="E47">
        <v>4816</v>
      </c>
      <c r="F47">
        <v>1179</v>
      </c>
      <c r="G47" s="34">
        <v>0.2</v>
      </c>
      <c r="H47" s="34">
        <v>1</v>
      </c>
      <c r="M47" s="36" t="s">
        <v>602</v>
      </c>
      <c r="N47" t="s">
        <v>602</v>
      </c>
      <c r="P47" t="str">
        <v>interval_100_230x5346_20_20</v>
      </c>
      <c r="Q47" t="str">
        <v>Interval</v>
      </c>
      <c r="R47">
        <v>230</v>
      </c>
      <c r="S47">
        <v>5346</v>
      </c>
      <c r="T47">
        <v>4293</v>
      </c>
      <c r="U47">
        <v>1053</v>
      </c>
      <c r="V47" s="34">
        <v>0.2</v>
      </c>
      <c r="W47" s="34">
        <v>0.2</v>
      </c>
    </row>
    <row r="48" spans="1:23" x14ac:dyDescent="0.25">
      <c r="A48" t="s">
        <v>441</v>
      </c>
      <c r="B48" t="s">
        <v>109</v>
      </c>
      <c r="C48">
        <v>110</v>
      </c>
      <c r="D48">
        <v>5995</v>
      </c>
      <c r="E48">
        <v>3045</v>
      </c>
      <c r="F48">
        <v>2950</v>
      </c>
      <c r="G48" s="34">
        <v>0.49</v>
      </c>
      <c r="H48" s="34">
        <v>1</v>
      </c>
      <c r="M48" s="36" t="s">
        <v>603</v>
      </c>
      <c r="N48" t="s">
        <v>603</v>
      </c>
      <c r="P48" t="str">
        <v>interval_101_230x5488_20_50</v>
      </c>
      <c r="Q48" t="str">
        <v>Interval</v>
      </c>
      <c r="R48">
        <v>230</v>
      </c>
      <c r="S48">
        <v>5488</v>
      </c>
      <c r="T48">
        <v>2855</v>
      </c>
      <c r="U48">
        <v>2633</v>
      </c>
      <c r="V48" s="34">
        <v>0.48</v>
      </c>
      <c r="W48" s="34">
        <v>0.21</v>
      </c>
    </row>
    <row r="49" spans="1:23" x14ac:dyDescent="0.25">
      <c r="A49" t="s">
        <v>442</v>
      </c>
      <c r="B49" t="s">
        <v>109</v>
      </c>
      <c r="C49">
        <v>110</v>
      </c>
      <c r="D49">
        <v>5995</v>
      </c>
      <c r="E49">
        <v>1254</v>
      </c>
      <c r="F49">
        <v>4741</v>
      </c>
      <c r="G49" s="34">
        <v>0.79</v>
      </c>
      <c r="H49" s="34">
        <v>1</v>
      </c>
      <c r="M49" s="36" t="s">
        <v>604</v>
      </c>
      <c r="N49" t="s">
        <v>604</v>
      </c>
      <c r="P49" t="str">
        <v>interval_102_230x5304_20_80</v>
      </c>
      <c r="Q49" t="str">
        <v>Interval</v>
      </c>
      <c r="R49">
        <v>230</v>
      </c>
      <c r="S49">
        <v>5304</v>
      </c>
      <c r="T49">
        <v>1091</v>
      </c>
      <c r="U49">
        <v>4213</v>
      </c>
      <c r="V49" s="34">
        <v>0.79</v>
      </c>
      <c r="W49" s="34">
        <v>0.2</v>
      </c>
    </row>
    <row r="50" spans="1:23" x14ac:dyDescent="0.25">
      <c r="A50" t="s">
        <v>443</v>
      </c>
      <c r="B50" t="s">
        <v>109</v>
      </c>
      <c r="C50">
        <v>110</v>
      </c>
      <c r="D50">
        <v>5995</v>
      </c>
      <c r="E50">
        <v>4831</v>
      </c>
      <c r="F50">
        <v>1164</v>
      </c>
      <c r="G50" s="34">
        <v>0.19</v>
      </c>
      <c r="H50" s="34">
        <v>1</v>
      </c>
      <c r="M50" s="36" t="s">
        <v>605</v>
      </c>
      <c r="N50" t="s">
        <v>605</v>
      </c>
      <c r="P50" t="str">
        <v>interval_103_230x13610_50_20</v>
      </c>
      <c r="Q50" t="str">
        <v>Interval</v>
      </c>
      <c r="R50">
        <v>230</v>
      </c>
      <c r="S50">
        <v>13610</v>
      </c>
      <c r="T50">
        <v>10977</v>
      </c>
      <c r="U50">
        <v>2633</v>
      </c>
      <c r="V50" s="34">
        <v>0.19</v>
      </c>
      <c r="W50" s="34">
        <v>0.52</v>
      </c>
    </row>
    <row r="51" spans="1:23" x14ac:dyDescent="0.25">
      <c r="A51" t="s">
        <v>444</v>
      </c>
      <c r="B51" t="s">
        <v>109</v>
      </c>
      <c r="C51">
        <v>110</v>
      </c>
      <c r="D51">
        <v>5995</v>
      </c>
      <c r="E51">
        <v>2929</v>
      </c>
      <c r="F51">
        <v>3066</v>
      </c>
      <c r="G51" s="34">
        <v>0.51</v>
      </c>
      <c r="H51" s="34">
        <v>1</v>
      </c>
      <c r="M51" s="36" t="s">
        <v>606</v>
      </c>
      <c r="N51" t="s">
        <v>606</v>
      </c>
      <c r="P51" t="str">
        <v>interval_104_230x13435_50_50</v>
      </c>
      <c r="Q51" t="str">
        <v>Interval</v>
      </c>
      <c r="R51">
        <v>230</v>
      </c>
      <c r="S51">
        <v>13435</v>
      </c>
      <c r="T51">
        <v>6852</v>
      </c>
      <c r="U51">
        <v>6583</v>
      </c>
      <c r="V51" s="34">
        <v>0.49</v>
      </c>
      <c r="W51" s="34">
        <v>0.51</v>
      </c>
    </row>
    <row r="52" spans="1:23" x14ac:dyDescent="0.25">
      <c r="A52" t="s">
        <v>445</v>
      </c>
      <c r="B52" t="s">
        <v>109</v>
      </c>
      <c r="C52">
        <v>110</v>
      </c>
      <c r="D52">
        <v>5995</v>
      </c>
      <c r="E52">
        <v>1194</v>
      </c>
      <c r="F52">
        <v>4801</v>
      </c>
      <c r="G52" s="34">
        <v>0.8</v>
      </c>
      <c r="H52" s="34">
        <v>1</v>
      </c>
      <c r="M52" s="36" t="s">
        <v>607</v>
      </c>
      <c r="N52" t="s">
        <v>607</v>
      </c>
      <c r="P52" t="str">
        <v>interval_105_230x13250_50_80</v>
      </c>
      <c r="Q52" t="str">
        <v>Interval</v>
      </c>
      <c r="R52">
        <v>230</v>
      </c>
      <c r="S52">
        <v>13250</v>
      </c>
      <c r="T52">
        <v>2716</v>
      </c>
      <c r="U52">
        <v>10534</v>
      </c>
      <c r="V52" s="34">
        <v>0.8</v>
      </c>
      <c r="W52" s="34">
        <v>0.5</v>
      </c>
    </row>
    <row r="53" spans="1:23" x14ac:dyDescent="0.25">
      <c r="A53" t="s">
        <v>446</v>
      </c>
      <c r="B53" t="s">
        <v>109</v>
      </c>
      <c r="C53">
        <v>110</v>
      </c>
      <c r="D53">
        <v>5995</v>
      </c>
      <c r="E53">
        <v>4784</v>
      </c>
      <c r="F53">
        <v>1211</v>
      </c>
      <c r="G53" s="34">
        <v>0.2</v>
      </c>
      <c r="H53" s="34">
        <v>1</v>
      </c>
      <c r="M53" s="36" t="s">
        <v>608</v>
      </c>
      <c r="N53" t="s">
        <v>608</v>
      </c>
      <c r="P53" t="str">
        <v>interval_106_230x22043_80_20</v>
      </c>
      <c r="Q53" t="str">
        <v>Interval</v>
      </c>
      <c r="R53">
        <v>230</v>
      </c>
      <c r="S53">
        <v>22043</v>
      </c>
      <c r="T53">
        <v>17830</v>
      </c>
      <c r="U53">
        <v>4213</v>
      </c>
      <c r="V53" s="34">
        <v>0.19</v>
      </c>
      <c r="W53" s="34">
        <v>0.84</v>
      </c>
    </row>
    <row r="54" spans="1:23" x14ac:dyDescent="0.25">
      <c r="A54" t="s">
        <v>447</v>
      </c>
      <c r="B54" t="s">
        <v>109</v>
      </c>
      <c r="C54">
        <v>110</v>
      </c>
      <c r="D54">
        <v>5995</v>
      </c>
      <c r="E54">
        <v>3034</v>
      </c>
      <c r="F54">
        <v>2961</v>
      </c>
      <c r="G54" s="34">
        <v>0.49</v>
      </c>
      <c r="H54" s="34">
        <v>1</v>
      </c>
      <c r="M54" s="36" t="s">
        <v>609</v>
      </c>
      <c r="N54" t="s">
        <v>609</v>
      </c>
      <c r="P54" t="str">
        <v>interval_107_230x21418_80_50</v>
      </c>
      <c r="Q54" t="str">
        <v>Interval</v>
      </c>
      <c r="R54">
        <v>230</v>
      </c>
      <c r="S54">
        <v>21418</v>
      </c>
      <c r="T54">
        <v>10884</v>
      </c>
      <c r="U54">
        <v>10534</v>
      </c>
      <c r="V54" s="34">
        <v>0.49</v>
      </c>
      <c r="W54" s="34">
        <v>0.81</v>
      </c>
    </row>
    <row r="55" spans="1:23" ht="15.75" thickBot="1" x14ac:dyDescent="0.3">
      <c r="A55" t="s">
        <v>448</v>
      </c>
      <c r="B55" t="s">
        <v>109</v>
      </c>
      <c r="C55">
        <v>110</v>
      </c>
      <c r="D55">
        <v>5995</v>
      </c>
      <c r="E55">
        <v>1212</v>
      </c>
      <c r="F55">
        <v>4783</v>
      </c>
      <c r="G55" s="34">
        <v>0.8</v>
      </c>
      <c r="H55" s="34">
        <v>1</v>
      </c>
      <c r="M55" s="36" t="s">
        <v>610</v>
      </c>
      <c r="N55" s="27" t="s">
        <v>610</v>
      </c>
      <c r="P55" t="str">
        <v>interval_108_230x21241_80_80</v>
      </c>
      <c r="Q55" t="str">
        <v>Interval</v>
      </c>
      <c r="R55">
        <v>230</v>
      </c>
      <c r="S55">
        <v>21241</v>
      </c>
      <c r="T55">
        <v>4387</v>
      </c>
      <c r="U55">
        <v>16854</v>
      </c>
      <c r="V55" s="34">
        <v>0.79</v>
      </c>
      <c r="W55" s="34">
        <v>0.81</v>
      </c>
    </row>
    <row r="56" spans="1:23" x14ac:dyDescent="0.25">
      <c r="A56" t="s">
        <v>449</v>
      </c>
      <c r="B56" t="s">
        <v>109</v>
      </c>
      <c r="C56">
        <v>130</v>
      </c>
      <c r="D56">
        <v>8385</v>
      </c>
      <c r="E56">
        <v>6718</v>
      </c>
      <c r="F56">
        <v>1667</v>
      </c>
      <c r="G56" s="34">
        <v>0.2</v>
      </c>
      <c r="H56" s="34">
        <v>1</v>
      </c>
      <c r="M56" s="36" t="s">
        <v>631</v>
      </c>
      <c r="N56" t="s">
        <v>631</v>
      </c>
      <c r="P56" t="str">
        <v>random_010_30x87_20_20</v>
      </c>
      <c r="Q56" t="str">
        <v>Random</v>
      </c>
      <c r="R56">
        <v>30</v>
      </c>
      <c r="S56">
        <v>87</v>
      </c>
      <c r="T56">
        <v>68</v>
      </c>
      <c r="U56">
        <v>19</v>
      </c>
      <c r="V56" s="34">
        <v>0.22</v>
      </c>
      <c r="W56" s="34">
        <v>0.2</v>
      </c>
    </row>
    <row r="57" spans="1:23" x14ac:dyDescent="0.25">
      <c r="A57" t="s">
        <v>450</v>
      </c>
      <c r="B57" t="s">
        <v>109</v>
      </c>
      <c r="C57">
        <v>130</v>
      </c>
      <c r="D57">
        <v>8385</v>
      </c>
      <c r="E57">
        <v>4219</v>
      </c>
      <c r="F57">
        <v>4166</v>
      </c>
      <c r="G57" s="34">
        <v>0.5</v>
      </c>
      <c r="H57" s="34">
        <v>1</v>
      </c>
      <c r="M57" s="36" t="s">
        <v>632</v>
      </c>
      <c r="N57" t="s">
        <v>632</v>
      </c>
      <c r="P57" t="str">
        <v>random_011_30x87_20_50</v>
      </c>
      <c r="Q57" t="str">
        <v>Random</v>
      </c>
      <c r="R57">
        <v>30</v>
      </c>
      <c r="S57">
        <v>87</v>
      </c>
      <c r="T57">
        <v>36</v>
      </c>
      <c r="U57">
        <v>51</v>
      </c>
      <c r="V57" s="34">
        <v>0.59</v>
      </c>
      <c r="W57" s="34">
        <v>0.2</v>
      </c>
    </row>
    <row r="58" spans="1:23" x14ac:dyDescent="0.25">
      <c r="A58" t="s">
        <v>451</v>
      </c>
      <c r="B58" t="s">
        <v>109</v>
      </c>
      <c r="C58">
        <v>130</v>
      </c>
      <c r="D58">
        <v>8385</v>
      </c>
      <c r="E58">
        <v>1738</v>
      </c>
      <c r="F58">
        <v>6647</v>
      </c>
      <c r="G58" s="34">
        <v>0.79</v>
      </c>
      <c r="H58" s="34">
        <v>1</v>
      </c>
      <c r="M58" s="36" t="s">
        <v>633</v>
      </c>
      <c r="N58" t="s">
        <v>633</v>
      </c>
      <c r="P58" t="str">
        <v>random_012_30x87_20_80</v>
      </c>
      <c r="Q58" t="str">
        <v>Random</v>
      </c>
      <c r="R58">
        <v>30</v>
      </c>
      <c r="S58">
        <v>87</v>
      </c>
      <c r="T58">
        <v>21</v>
      </c>
      <c r="U58">
        <v>66</v>
      </c>
      <c r="V58" s="34">
        <v>0.76</v>
      </c>
      <c r="W58" s="34">
        <v>0.2</v>
      </c>
    </row>
    <row r="59" spans="1:23" x14ac:dyDescent="0.25">
      <c r="A59" t="s">
        <v>452</v>
      </c>
      <c r="B59" t="s">
        <v>109</v>
      </c>
      <c r="C59">
        <v>130</v>
      </c>
      <c r="D59">
        <v>8385</v>
      </c>
      <c r="E59">
        <v>6764</v>
      </c>
      <c r="F59">
        <v>1621</v>
      </c>
      <c r="G59" s="34">
        <v>0.19</v>
      </c>
      <c r="H59" s="34">
        <v>1</v>
      </c>
      <c r="M59" s="36" t="s">
        <v>634</v>
      </c>
      <c r="N59" t="s">
        <v>634</v>
      </c>
      <c r="P59" t="str">
        <v>random_013_30x217_50_20</v>
      </c>
      <c r="Q59" t="str">
        <v>Random</v>
      </c>
      <c r="R59">
        <v>30</v>
      </c>
      <c r="S59">
        <v>217</v>
      </c>
      <c r="T59">
        <v>167</v>
      </c>
      <c r="U59">
        <v>50</v>
      </c>
      <c r="V59" s="34">
        <v>0.23</v>
      </c>
      <c r="W59" s="34">
        <v>0.5</v>
      </c>
    </row>
    <row r="60" spans="1:23" x14ac:dyDescent="0.25">
      <c r="A60" t="s">
        <v>453</v>
      </c>
      <c r="B60" t="s">
        <v>109</v>
      </c>
      <c r="C60">
        <v>130</v>
      </c>
      <c r="D60">
        <v>8385</v>
      </c>
      <c r="E60">
        <v>4217</v>
      </c>
      <c r="F60">
        <v>4168</v>
      </c>
      <c r="G60" s="34">
        <v>0.5</v>
      </c>
      <c r="H60" s="34">
        <v>1</v>
      </c>
      <c r="M60" s="36" t="s">
        <v>635</v>
      </c>
      <c r="N60" t="s">
        <v>635</v>
      </c>
      <c r="P60" t="str">
        <v>random_014_30x217_50_50</v>
      </c>
      <c r="Q60" t="str">
        <v>Random</v>
      </c>
      <c r="R60">
        <v>30</v>
      </c>
      <c r="S60">
        <v>217</v>
      </c>
      <c r="T60">
        <v>103</v>
      </c>
      <c r="U60">
        <v>114</v>
      </c>
      <c r="V60" s="34">
        <v>0.53</v>
      </c>
      <c r="W60" s="34">
        <v>0.5</v>
      </c>
    </row>
    <row r="61" spans="1:23" x14ac:dyDescent="0.25">
      <c r="A61" t="s">
        <v>454</v>
      </c>
      <c r="B61" t="s">
        <v>109</v>
      </c>
      <c r="C61">
        <v>130</v>
      </c>
      <c r="D61">
        <v>8385</v>
      </c>
      <c r="E61">
        <v>1691</v>
      </c>
      <c r="F61">
        <v>6694</v>
      </c>
      <c r="G61" s="34">
        <v>0.8</v>
      </c>
      <c r="H61" s="34">
        <v>1</v>
      </c>
      <c r="M61" s="36" t="s">
        <v>636</v>
      </c>
      <c r="N61" t="s">
        <v>636</v>
      </c>
      <c r="P61" t="str">
        <v>random_015_30x217_50_80</v>
      </c>
      <c r="Q61" t="str">
        <v>Random</v>
      </c>
      <c r="R61">
        <v>30</v>
      </c>
      <c r="S61">
        <v>217</v>
      </c>
      <c r="T61">
        <v>57</v>
      </c>
      <c r="U61">
        <v>160</v>
      </c>
      <c r="V61" s="34">
        <v>0.74</v>
      </c>
      <c r="W61" s="34">
        <v>0.5</v>
      </c>
    </row>
    <row r="62" spans="1:23" x14ac:dyDescent="0.25">
      <c r="A62" t="s">
        <v>455</v>
      </c>
      <c r="B62" t="s">
        <v>109</v>
      </c>
      <c r="C62">
        <v>130</v>
      </c>
      <c r="D62">
        <v>8385</v>
      </c>
      <c r="E62">
        <v>6669</v>
      </c>
      <c r="F62">
        <v>1716</v>
      </c>
      <c r="G62" s="34">
        <v>0.2</v>
      </c>
      <c r="H62" s="34">
        <v>1</v>
      </c>
      <c r="M62" s="36" t="s">
        <v>637</v>
      </c>
      <c r="N62" t="s">
        <v>637</v>
      </c>
      <c r="P62" t="str">
        <v>random_016_30x348_80_20</v>
      </c>
      <c r="Q62" t="str">
        <v>Random</v>
      </c>
      <c r="R62">
        <v>30</v>
      </c>
      <c r="S62">
        <v>348</v>
      </c>
      <c r="T62">
        <v>268</v>
      </c>
      <c r="U62">
        <v>80</v>
      </c>
      <c r="V62" s="34">
        <v>0.23</v>
      </c>
      <c r="W62" s="34">
        <v>0.8</v>
      </c>
    </row>
    <row r="63" spans="1:23" x14ac:dyDescent="0.25">
      <c r="A63" t="s">
        <v>456</v>
      </c>
      <c r="B63" t="s">
        <v>109</v>
      </c>
      <c r="C63">
        <v>130</v>
      </c>
      <c r="D63">
        <v>8385</v>
      </c>
      <c r="E63">
        <v>4242</v>
      </c>
      <c r="F63">
        <v>4143</v>
      </c>
      <c r="G63" s="34">
        <v>0.49</v>
      </c>
      <c r="H63" s="34">
        <v>1</v>
      </c>
      <c r="M63" s="36" t="s">
        <v>638</v>
      </c>
      <c r="N63" t="s">
        <v>638</v>
      </c>
      <c r="P63" t="str">
        <v>random_017_30x348_80_50</v>
      </c>
      <c r="Q63" t="str">
        <v>Random</v>
      </c>
      <c r="R63">
        <v>30</v>
      </c>
      <c r="S63">
        <v>348</v>
      </c>
      <c r="T63">
        <v>191</v>
      </c>
      <c r="U63">
        <v>157</v>
      </c>
      <c r="V63" s="34">
        <v>0.45</v>
      </c>
      <c r="W63" s="34">
        <v>0.8</v>
      </c>
    </row>
    <row r="64" spans="1:23" x14ac:dyDescent="0.25">
      <c r="A64" t="s">
        <v>457</v>
      </c>
      <c r="B64" t="s">
        <v>109</v>
      </c>
      <c r="C64">
        <v>130</v>
      </c>
      <c r="D64">
        <v>8385</v>
      </c>
      <c r="E64">
        <v>1686</v>
      </c>
      <c r="F64">
        <v>6699</v>
      </c>
      <c r="G64" s="34">
        <v>0.8</v>
      </c>
      <c r="H64" s="34">
        <v>1</v>
      </c>
      <c r="M64" s="36" t="s">
        <v>639</v>
      </c>
      <c r="N64" t="s">
        <v>639</v>
      </c>
      <c r="P64" t="str">
        <v>random_018_30x348_80_80</v>
      </c>
      <c r="Q64" t="str">
        <v>Random</v>
      </c>
      <c r="R64">
        <v>30</v>
      </c>
      <c r="S64">
        <v>348</v>
      </c>
      <c r="T64">
        <v>72</v>
      </c>
      <c r="U64">
        <v>276</v>
      </c>
      <c r="V64" s="34">
        <v>0.79</v>
      </c>
      <c r="W64" s="34">
        <v>0.8</v>
      </c>
    </row>
    <row r="65" spans="1:23" x14ac:dyDescent="0.25">
      <c r="A65" t="s">
        <v>458</v>
      </c>
      <c r="B65" t="s">
        <v>109</v>
      </c>
      <c r="C65">
        <v>150</v>
      </c>
      <c r="D65">
        <v>11175</v>
      </c>
      <c r="E65">
        <v>8854</v>
      </c>
      <c r="F65">
        <v>2321</v>
      </c>
      <c r="G65" s="34">
        <v>0.21</v>
      </c>
      <c r="H65" s="34">
        <v>1</v>
      </c>
      <c r="M65" s="36" t="s">
        <v>667</v>
      </c>
      <c r="N65" t="s">
        <v>667</v>
      </c>
      <c r="P65" t="str">
        <v>random_046_110x1199_20_20</v>
      </c>
      <c r="Q65" t="str">
        <v>Random</v>
      </c>
      <c r="R65">
        <v>110</v>
      </c>
      <c r="S65">
        <v>1199</v>
      </c>
      <c r="T65">
        <v>942</v>
      </c>
      <c r="U65">
        <v>257</v>
      </c>
      <c r="V65" s="34">
        <v>0.21</v>
      </c>
      <c r="W65" s="34">
        <v>0.2</v>
      </c>
    </row>
    <row r="66" spans="1:23" x14ac:dyDescent="0.25">
      <c r="A66" t="s">
        <v>459</v>
      </c>
      <c r="B66" t="s">
        <v>109</v>
      </c>
      <c r="C66">
        <v>150</v>
      </c>
      <c r="D66">
        <v>11175</v>
      </c>
      <c r="E66">
        <v>5622</v>
      </c>
      <c r="F66">
        <v>5553</v>
      </c>
      <c r="G66" s="34">
        <v>0.5</v>
      </c>
      <c r="H66" s="34">
        <v>1</v>
      </c>
      <c r="M66" s="36" t="s">
        <v>668</v>
      </c>
      <c r="N66" t="s">
        <v>668</v>
      </c>
      <c r="P66" t="str">
        <v>random_047_110x1199_20_50</v>
      </c>
      <c r="Q66" t="str">
        <v>Random</v>
      </c>
      <c r="R66">
        <v>110</v>
      </c>
      <c r="S66">
        <v>1199</v>
      </c>
      <c r="T66">
        <v>566</v>
      </c>
      <c r="U66">
        <v>633</v>
      </c>
      <c r="V66" s="34">
        <v>0.53</v>
      </c>
      <c r="W66" s="34">
        <v>0.2</v>
      </c>
    </row>
    <row r="67" spans="1:23" x14ac:dyDescent="0.25">
      <c r="A67" t="s">
        <v>460</v>
      </c>
      <c r="B67" t="s">
        <v>109</v>
      </c>
      <c r="C67">
        <v>150</v>
      </c>
      <c r="D67">
        <v>11175</v>
      </c>
      <c r="E67">
        <v>2215</v>
      </c>
      <c r="F67">
        <v>8960</v>
      </c>
      <c r="G67" s="34">
        <v>0.8</v>
      </c>
      <c r="H67" s="34">
        <v>1</v>
      </c>
      <c r="M67" s="36" t="s">
        <v>669</v>
      </c>
      <c r="N67" t="s">
        <v>669</v>
      </c>
      <c r="P67" t="str">
        <v>random_048_110x1199_20_80</v>
      </c>
      <c r="Q67" t="str">
        <v>Random</v>
      </c>
      <c r="R67">
        <v>110</v>
      </c>
      <c r="S67">
        <v>1199</v>
      </c>
      <c r="T67">
        <v>243</v>
      </c>
      <c r="U67">
        <v>956</v>
      </c>
      <c r="V67" s="34">
        <v>0.8</v>
      </c>
      <c r="W67" s="34">
        <v>0.2</v>
      </c>
    </row>
    <row r="68" spans="1:23" x14ac:dyDescent="0.25">
      <c r="A68" t="s">
        <v>461</v>
      </c>
      <c r="B68" t="s">
        <v>109</v>
      </c>
      <c r="C68">
        <v>150</v>
      </c>
      <c r="D68">
        <v>11175</v>
      </c>
      <c r="E68">
        <v>9018</v>
      </c>
      <c r="F68">
        <v>2157</v>
      </c>
      <c r="G68" s="34">
        <v>0.19</v>
      </c>
      <c r="H68" s="34">
        <v>1</v>
      </c>
      <c r="M68" s="36" t="s">
        <v>670</v>
      </c>
      <c r="N68" t="s">
        <v>670</v>
      </c>
      <c r="P68" t="str">
        <v>random_049_110x2997_50_20</v>
      </c>
      <c r="Q68" t="str">
        <v>Random</v>
      </c>
      <c r="R68">
        <v>110</v>
      </c>
      <c r="S68">
        <v>2997</v>
      </c>
      <c r="T68">
        <v>2422</v>
      </c>
      <c r="U68">
        <v>575</v>
      </c>
      <c r="V68" s="34">
        <v>0.19</v>
      </c>
      <c r="W68" s="34">
        <v>0.5</v>
      </c>
    </row>
    <row r="69" spans="1:23" x14ac:dyDescent="0.25">
      <c r="A69" t="s">
        <v>462</v>
      </c>
      <c r="B69" t="s">
        <v>109</v>
      </c>
      <c r="C69">
        <v>150</v>
      </c>
      <c r="D69">
        <v>11175</v>
      </c>
      <c r="E69">
        <v>5572</v>
      </c>
      <c r="F69">
        <v>5603</v>
      </c>
      <c r="G69" s="34">
        <v>0.5</v>
      </c>
      <c r="H69" s="34">
        <v>1</v>
      </c>
      <c r="M69" s="36" t="s">
        <v>671</v>
      </c>
      <c r="N69" t="s">
        <v>671</v>
      </c>
      <c r="P69" t="str">
        <v>random_050_110x2997_50_50</v>
      </c>
      <c r="Q69" t="str">
        <v>Random</v>
      </c>
      <c r="R69">
        <v>110</v>
      </c>
      <c r="S69">
        <v>2997</v>
      </c>
      <c r="T69">
        <v>1493</v>
      </c>
      <c r="U69">
        <v>1504</v>
      </c>
      <c r="V69" s="34">
        <v>0.5</v>
      </c>
      <c r="W69" s="34">
        <v>0.5</v>
      </c>
    </row>
    <row r="70" spans="1:23" x14ac:dyDescent="0.25">
      <c r="A70" t="s">
        <v>463</v>
      </c>
      <c r="B70" t="s">
        <v>109</v>
      </c>
      <c r="C70">
        <v>150</v>
      </c>
      <c r="D70">
        <v>11175</v>
      </c>
      <c r="E70">
        <v>2274</v>
      </c>
      <c r="F70">
        <v>8901</v>
      </c>
      <c r="G70" s="34">
        <v>0.8</v>
      </c>
      <c r="H70" s="34">
        <v>1</v>
      </c>
      <c r="M70" s="36" t="s">
        <v>672</v>
      </c>
      <c r="N70" t="s">
        <v>672</v>
      </c>
      <c r="P70" t="str">
        <v>random_051_110x2997_50_80</v>
      </c>
      <c r="Q70" t="str">
        <v>Random</v>
      </c>
      <c r="R70">
        <v>110</v>
      </c>
      <c r="S70">
        <v>2997</v>
      </c>
      <c r="T70">
        <v>614</v>
      </c>
      <c r="U70">
        <v>2383</v>
      </c>
      <c r="V70" s="34">
        <v>0.8</v>
      </c>
      <c r="W70" s="34">
        <v>0.5</v>
      </c>
    </row>
    <row r="71" spans="1:23" x14ac:dyDescent="0.25">
      <c r="A71" t="s">
        <v>464</v>
      </c>
      <c r="B71" t="s">
        <v>109</v>
      </c>
      <c r="C71">
        <v>150</v>
      </c>
      <c r="D71">
        <v>11175</v>
      </c>
      <c r="E71">
        <v>8970</v>
      </c>
      <c r="F71">
        <v>2205</v>
      </c>
      <c r="G71" s="34">
        <v>0.2</v>
      </c>
      <c r="H71" s="34">
        <v>1</v>
      </c>
      <c r="M71" s="36" t="s">
        <v>673</v>
      </c>
      <c r="N71" t="s">
        <v>673</v>
      </c>
      <c r="P71" t="str">
        <v>random_052_110x4796_80_20</v>
      </c>
      <c r="Q71" t="str">
        <v>Random</v>
      </c>
      <c r="R71">
        <v>110</v>
      </c>
      <c r="S71">
        <v>4796</v>
      </c>
      <c r="T71">
        <v>3827</v>
      </c>
      <c r="U71">
        <v>969</v>
      </c>
      <c r="V71" s="34">
        <v>0.2</v>
      </c>
      <c r="W71" s="34">
        <v>0.8</v>
      </c>
    </row>
    <row r="72" spans="1:23" x14ac:dyDescent="0.25">
      <c r="A72" t="s">
        <v>465</v>
      </c>
      <c r="B72" t="s">
        <v>109</v>
      </c>
      <c r="C72">
        <v>150</v>
      </c>
      <c r="D72">
        <v>11175</v>
      </c>
      <c r="E72">
        <v>5581</v>
      </c>
      <c r="F72">
        <v>5594</v>
      </c>
      <c r="G72" s="34">
        <v>0.5</v>
      </c>
      <c r="H72" s="34">
        <v>1</v>
      </c>
      <c r="M72" s="36" t="s">
        <v>674</v>
      </c>
      <c r="N72" t="s">
        <v>674</v>
      </c>
      <c r="P72" t="str">
        <v>random_053_110x4796_80_50</v>
      </c>
      <c r="Q72" t="str">
        <v>Random</v>
      </c>
      <c r="R72">
        <v>110</v>
      </c>
      <c r="S72">
        <v>4796</v>
      </c>
      <c r="T72">
        <v>2385</v>
      </c>
      <c r="U72">
        <v>2411</v>
      </c>
      <c r="V72" s="34">
        <v>0.5</v>
      </c>
      <c r="W72" s="34">
        <v>0.8</v>
      </c>
    </row>
    <row r="73" spans="1:23" x14ac:dyDescent="0.25">
      <c r="A73" t="s">
        <v>466</v>
      </c>
      <c r="B73" t="s">
        <v>109</v>
      </c>
      <c r="C73">
        <v>150</v>
      </c>
      <c r="D73">
        <v>11175</v>
      </c>
      <c r="E73">
        <v>2275</v>
      </c>
      <c r="F73">
        <v>8900</v>
      </c>
      <c r="G73" s="34">
        <v>0.8</v>
      </c>
      <c r="H73" s="34">
        <v>1</v>
      </c>
      <c r="M73" s="36" t="s">
        <v>675</v>
      </c>
      <c r="N73" t="s">
        <v>675</v>
      </c>
      <c r="P73" t="str">
        <v>random_054_110x4796_80_80</v>
      </c>
      <c r="Q73" t="str">
        <v>Random</v>
      </c>
      <c r="R73">
        <v>110</v>
      </c>
      <c r="S73">
        <v>4796</v>
      </c>
      <c r="T73">
        <v>932</v>
      </c>
      <c r="U73">
        <v>3864</v>
      </c>
      <c r="V73" s="34">
        <v>0.81</v>
      </c>
      <c r="W73" s="34">
        <v>0.8</v>
      </c>
    </row>
    <row r="74" spans="1:23" x14ac:dyDescent="0.25">
      <c r="A74" t="s">
        <v>467</v>
      </c>
      <c r="B74" t="s">
        <v>109</v>
      </c>
      <c r="C74">
        <v>170</v>
      </c>
      <c r="D74">
        <v>14365</v>
      </c>
      <c r="E74">
        <v>11436</v>
      </c>
      <c r="F74">
        <v>2929</v>
      </c>
      <c r="G74" s="34">
        <v>0.2</v>
      </c>
      <c r="H74" s="34">
        <v>1</v>
      </c>
      <c r="M74" s="36" t="s">
        <v>721</v>
      </c>
      <c r="N74" t="s">
        <v>721</v>
      </c>
      <c r="P74" t="str">
        <v>random_100_230x5267_20_20</v>
      </c>
      <c r="Q74" t="str">
        <v>Random</v>
      </c>
      <c r="R74">
        <v>230</v>
      </c>
      <c r="S74">
        <v>5267</v>
      </c>
      <c r="T74">
        <v>4206</v>
      </c>
      <c r="U74">
        <v>1061</v>
      </c>
      <c r="V74" s="34">
        <v>0.2</v>
      </c>
      <c r="W74" s="34">
        <v>0.2</v>
      </c>
    </row>
    <row r="75" spans="1:23" x14ac:dyDescent="0.25">
      <c r="A75" t="s">
        <v>468</v>
      </c>
      <c r="B75" t="s">
        <v>109</v>
      </c>
      <c r="C75">
        <v>170</v>
      </c>
      <c r="D75">
        <v>14365</v>
      </c>
      <c r="E75">
        <v>7195</v>
      </c>
      <c r="F75">
        <v>7170</v>
      </c>
      <c r="G75" s="34">
        <v>0.5</v>
      </c>
      <c r="H75" s="34">
        <v>1</v>
      </c>
      <c r="M75" s="36" t="s">
        <v>722</v>
      </c>
      <c r="N75" t="s">
        <v>722</v>
      </c>
      <c r="P75" t="str">
        <v>random_101_230x5267_20_50</v>
      </c>
      <c r="Q75" t="str">
        <v>Random</v>
      </c>
      <c r="R75">
        <v>230</v>
      </c>
      <c r="S75">
        <v>5267</v>
      </c>
      <c r="T75">
        <v>2623</v>
      </c>
      <c r="U75">
        <v>2644</v>
      </c>
      <c r="V75" s="34">
        <v>0.5</v>
      </c>
      <c r="W75" s="34">
        <v>0.2</v>
      </c>
    </row>
    <row r="76" spans="1:23" x14ac:dyDescent="0.25">
      <c r="A76" t="s">
        <v>469</v>
      </c>
      <c r="B76" t="s">
        <v>109</v>
      </c>
      <c r="C76">
        <v>170</v>
      </c>
      <c r="D76">
        <v>14365</v>
      </c>
      <c r="E76">
        <v>2809</v>
      </c>
      <c r="F76">
        <v>11556</v>
      </c>
      <c r="G76" s="34">
        <v>0.8</v>
      </c>
      <c r="H76" s="34">
        <v>1</v>
      </c>
      <c r="M76" s="36" t="s">
        <v>723</v>
      </c>
      <c r="N76" t="s">
        <v>723</v>
      </c>
      <c r="P76" t="str">
        <v>random_102_230x5267_20_80</v>
      </c>
      <c r="Q76" t="str">
        <v>Random</v>
      </c>
      <c r="R76">
        <v>230</v>
      </c>
      <c r="S76">
        <v>5267</v>
      </c>
      <c r="T76">
        <v>1058</v>
      </c>
      <c r="U76">
        <v>4209</v>
      </c>
      <c r="V76" s="34">
        <v>0.8</v>
      </c>
      <c r="W76" s="34">
        <v>0.2</v>
      </c>
    </row>
    <row r="77" spans="1:23" x14ac:dyDescent="0.25">
      <c r="A77" t="s">
        <v>470</v>
      </c>
      <c r="B77" t="s">
        <v>109</v>
      </c>
      <c r="C77">
        <v>170</v>
      </c>
      <c r="D77">
        <v>14365</v>
      </c>
      <c r="E77">
        <v>11530</v>
      </c>
      <c r="F77">
        <v>2835</v>
      </c>
      <c r="G77" s="34">
        <v>0.2</v>
      </c>
      <c r="H77" s="34">
        <v>1</v>
      </c>
      <c r="M77" s="36" t="s">
        <v>724</v>
      </c>
      <c r="N77" t="s">
        <v>724</v>
      </c>
      <c r="P77" t="str">
        <v>random_103_230x13167_50_20</v>
      </c>
      <c r="Q77" t="str">
        <v>Random</v>
      </c>
      <c r="R77">
        <v>230</v>
      </c>
      <c r="S77">
        <v>13167</v>
      </c>
      <c r="T77">
        <v>10464</v>
      </c>
      <c r="U77">
        <v>2703</v>
      </c>
      <c r="V77" s="34">
        <v>0.21</v>
      </c>
      <c r="W77" s="34">
        <v>0.5</v>
      </c>
    </row>
    <row r="78" spans="1:23" x14ac:dyDescent="0.25">
      <c r="A78" t="s">
        <v>471</v>
      </c>
      <c r="B78" t="s">
        <v>109</v>
      </c>
      <c r="C78">
        <v>170</v>
      </c>
      <c r="D78">
        <v>14365</v>
      </c>
      <c r="E78">
        <v>7139</v>
      </c>
      <c r="F78">
        <v>7226</v>
      </c>
      <c r="G78" s="34">
        <v>0.5</v>
      </c>
      <c r="H78" s="34">
        <v>1</v>
      </c>
      <c r="M78" s="36" t="s">
        <v>725</v>
      </c>
      <c r="N78" t="s">
        <v>725</v>
      </c>
      <c r="P78" t="str">
        <v>random_104_230x13167_50_50</v>
      </c>
      <c r="Q78" t="str">
        <v>Random</v>
      </c>
      <c r="R78">
        <v>230</v>
      </c>
      <c r="S78">
        <v>13167</v>
      </c>
      <c r="T78">
        <v>6714</v>
      </c>
      <c r="U78">
        <v>6453</v>
      </c>
      <c r="V78" s="34">
        <v>0.49</v>
      </c>
      <c r="W78" s="34">
        <v>0.5</v>
      </c>
    </row>
    <row r="79" spans="1:23" x14ac:dyDescent="0.25">
      <c r="A79" t="s">
        <v>472</v>
      </c>
      <c r="B79" t="s">
        <v>109</v>
      </c>
      <c r="C79">
        <v>170</v>
      </c>
      <c r="D79">
        <v>14365</v>
      </c>
      <c r="E79">
        <v>2849</v>
      </c>
      <c r="F79">
        <v>11516</v>
      </c>
      <c r="G79" s="34">
        <v>0.8</v>
      </c>
      <c r="H79" s="34">
        <v>1</v>
      </c>
      <c r="M79" s="36" t="s">
        <v>726</v>
      </c>
      <c r="N79" t="s">
        <v>726</v>
      </c>
      <c r="P79" t="str">
        <v>random_105_230x13167_50_80</v>
      </c>
      <c r="Q79" t="str">
        <v>Random</v>
      </c>
      <c r="R79">
        <v>230</v>
      </c>
      <c r="S79">
        <v>13167</v>
      </c>
      <c r="T79">
        <v>2571</v>
      </c>
      <c r="U79">
        <v>10596</v>
      </c>
      <c r="V79" s="34">
        <v>0.8</v>
      </c>
      <c r="W79" s="34">
        <v>0.5</v>
      </c>
    </row>
    <row r="80" spans="1:23" x14ac:dyDescent="0.25">
      <c r="A80" t="s">
        <v>473</v>
      </c>
      <c r="B80" t="s">
        <v>109</v>
      </c>
      <c r="C80">
        <v>170</v>
      </c>
      <c r="D80">
        <v>14365</v>
      </c>
      <c r="E80">
        <v>11483</v>
      </c>
      <c r="F80">
        <v>2882</v>
      </c>
      <c r="G80" s="34">
        <v>0.2</v>
      </c>
      <c r="H80" s="34">
        <v>1</v>
      </c>
      <c r="M80" s="36" t="s">
        <v>727</v>
      </c>
      <c r="N80" t="s">
        <v>727</v>
      </c>
      <c r="P80" t="str">
        <v>random_106_230x21068_80_20</v>
      </c>
      <c r="Q80" t="str">
        <v>Random</v>
      </c>
      <c r="R80">
        <v>230</v>
      </c>
      <c r="S80">
        <v>21068</v>
      </c>
      <c r="T80">
        <v>16805</v>
      </c>
      <c r="U80">
        <v>4263</v>
      </c>
      <c r="V80" s="34">
        <v>0.2</v>
      </c>
      <c r="W80" s="34">
        <v>0.8</v>
      </c>
    </row>
    <row r="81" spans="1:23" x14ac:dyDescent="0.25">
      <c r="A81" t="s">
        <v>474</v>
      </c>
      <c r="B81" t="s">
        <v>109</v>
      </c>
      <c r="C81">
        <v>170</v>
      </c>
      <c r="D81">
        <v>14365</v>
      </c>
      <c r="E81">
        <v>7208</v>
      </c>
      <c r="F81">
        <v>7157</v>
      </c>
      <c r="G81" s="34">
        <v>0.5</v>
      </c>
      <c r="H81" s="34">
        <v>1</v>
      </c>
      <c r="M81" s="36" t="s">
        <v>728</v>
      </c>
      <c r="N81" t="s">
        <v>728</v>
      </c>
      <c r="P81" t="str">
        <v>random_107_230x21068_80_50</v>
      </c>
      <c r="Q81" t="str">
        <v>Random</v>
      </c>
      <c r="R81">
        <v>230</v>
      </c>
      <c r="S81">
        <v>21068</v>
      </c>
      <c r="T81">
        <v>10329</v>
      </c>
      <c r="U81">
        <v>10739</v>
      </c>
      <c r="V81" s="34">
        <v>0.51</v>
      </c>
      <c r="W81" s="34">
        <v>0.8</v>
      </c>
    </row>
    <row r="82" spans="1:23" ht="15.75" thickBot="1" x14ac:dyDescent="0.3">
      <c r="A82" t="s">
        <v>475</v>
      </c>
      <c r="B82" t="s">
        <v>109</v>
      </c>
      <c r="C82">
        <v>170</v>
      </c>
      <c r="D82">
        <v>14365</v>
      </c>
      <c r="E82">
        <v>2986</v>
      </c>
      <c r="F82">
        <v>11379</v>
      </c>
      <c r="G82" s="34">
        <v>0.79</v>
      </c>
      <c r="H82" s="34">
        <v>1</v>
      </c>
      <c r="M82" s="36" t="s">
        <v>729</v>
      </c>
      <c r="N82" s="27" t="s">
        <v>729</v>
      </c>
      <c r="P82" t="str">
        <v>random_108_230x21068_80_80</v>
      </c>
      <c r="Q82" t="str">
        <v>Random</v>
      </c>
      <c r="R82">
        <v>230</v>
      </c>
      <c r="S82">
        <v>21068</v>
      </c>
      <c r="T82">
        <v>4212</v>
      </c>
      <c r="U82">
        <v>16856</v>
      </c>
      <c r="V82" s="34">
        <v>0.8</v>
      </c>
      <c r="W82" s="34">
        <v>0.8</v>
      </c>
    </row>
    <row r="83" spans="1:23" x14ac:dyDescent="0.25">
      <c r="A83" t="s">
        <v>476</v>
      </c>
      <c r="B83" t="s">
        <v>109</v>
      </c>
      <c r="C83">
        <v>190</v>
      </c>
      <c r="D83">
        <v>17955</v>
      </c>
      <c r="E83">
        <v>14329</v>
      </c>
      <c r="F83">
        <v>3626</v>
      </c>
      <c r="G83" s="34">
        <v>0.2</v>
      </c>
      <c r="H83" s="34">
        <v>1</v>
      </c>
      <c r="M83" s="36" t="s">
        <v>355</v>
      </c>
      <c r="N83" t="s">
        <v>355</v>
      </c>
      <c r="P83" t="str">
        <v>1000soc-sign-epinions.txt</v>
      </c>
      <c r="Q83" t="str">
        <v>Real</v>
      </c>
      <c r="R83">
        <v>1007</v>
      </c>
      <c r="S83">
        <v>6438</v>
      </c>
      <c r="T83">
        <v>4413</v>
      </c>
      <c r="U83">
        <v>266</v>
      </c>
      <c r="V83" s="34">
        <v>0.04</v>
      </c>
      <c r="W83" s="34">
        <v>0.01</v>
      </c>
    </row>
    <row r="84" spans="1:23" x14ac:dyDescent="0.25">
      <c r="A84" t="s">
        <v>477</v>
      </c>
      <c r="B84" t="s">
        <v>109</v>
      </c>
      <c r="C84">
        <v>190</v>
      </c>
      <c r="D84">
        <v>17955</v>
      </c>
      <c r="E84">
        <v>9037</v>
      </c>
      <c r="F84">
        <v>8918</v>
      </c>
      <c r="G84" s="34">
        <v>0.5</v>
      </c>
      <c r="H84" s="34">
        <v>1</v>
      </c>
      <c r="M84" s="36" t="s">
        <v>625</v>
      </c>
      <c r="N84" t="s">
        <v>625</v>
      </c>
      <c r="P84" t="str">
        <v>1000wikipedia_adminship_election_data.txt</v>
      </c>
      <c r="Q84" t="str">
        <v>Real</v>
      </c>
      <c r="R84">
        <v>1049</v>
      </c>
      <c r="S84">
        <v>7097</v>
      </c>
      <c r="T84">
        <v>5901</v>
      </c>
      <c r="U84">
        <v>872</v>
      </c>
      <c r="V84" s="34">
        <v>0.12</v>
      </c>
      <c r="W84" s="34">
        <v>0.01</v>
      </c>
    </row>
    <row r="85" spans="1:23" x14ac:dyDescent="0.25">
      <c r="A85" t="s">
        <v>478</v>
      </c>
      <c r="B85" t="s">
        <v>109</v>
      </c>
      <c r="C85">
        <v>190</v>
      </c>
      <c r="D85">
        <v>17955</v>
      </c>
      <c r="E85">
        <v>3632</v>
      </c>
      <c r="F85">
        <v>14323</v>
      </c>
      <c r="G85" s="34">
        <v>0.8</v>
      </c>
      <c r="H85" s="34">
        <v>1</v>
      </c>
      <c r="M85" s="36" t="s">
        <v>623</v>
      </c>
      <c r="N85" t="s">
        <v>623</v>
      </c>
      <c r="P85" t="str">
        <v>100out.soc-sign-bitcoinalpha.txt</v>
      </c>
      <c r="Q85" t="str">
        <v>Real</v>
      </c>
      <c r="R85">
        <v>102</v>
      </c>
      <c r="S85">
        <v>297</v>
      </c>
      <c r="T85">
        <v>159</v>
      </c>
      <c r="U85">
        <v>26</v>
      </c>
      <c r="V85" s="34">
        <v>0.09</v>
      </c>
      <c r="W85" s="34">
        <v>0.06</v>
      </c>
    </row>
    <row r="86" spans="1:23" x14ac:dyDescent="0.25">
      <c r="A86" t="s">
        <v>479</v>
      </c>
      <c r="B86" t="s">
        <v>109</v>
      </c>
      <c r="C86">
        <v>190</v>
      </c>
      <c r="D86">
        <v>17955</v>
      </c>
      <c r="E86">
        <v>14244</v>
      </c>
      <c r="F86">
        <v>3711</v>
      </c>
      <c r="G86" s="34">
        <v>0.21</v>
      </c>
      <c r="H86" s="34">
        <v>1</v>
      </c>
      <c r="M86" s="36" t="s">
        <v>394</v>
      </c>
      <c r="N86" t="s">
        <v>394</v>
      </c>
      <c r="P86" t="str">
        <v>100soc-sign-epinions.txt</v>
      </c>
      <c r="Q86" t="str">
        <v>Real</v>
      </c>
      <c r="R86">
        <v>103</v>
      </c>
      <c r="S86">
        <v>1051</v>
      </c>
      <c r="T86">
        <v>705</v>
      </c>
      <c r="U86">
        <v>92</v>
      </c>
      <c r="V86" s="34">
        <v>0.09</v>
      </c>
      <c r="W86" s="34">
        <v>0.2</v>
      </c>
    </row>
    <row r="87" spans="1:23" x14ac:dyDescent="0.25">
      <c r="A87" t="s">
        <v>480</v>
      </c>
      <c r="B87" t="s">
        <v>109</v>
      </c>
      <c r="C87">
        <v>190</v>
      </c>
      <c r="D87">
        <v>17955</v>
      </c>
      <c r="E87">
        <v>9035</v>
      </c>
      <c r="F87">
        <v>8920</v>
      </c>
      <c r="G87" s="34">
        <v>0.5</v>
      </c>
      <c r="H87" s="34">
        <v>1</v>
      </c>
      <c r="M87" s="36" t="s">
        <v>393</v>
      </c>
      <c r="N87" t="s">
        <v>393</v>
      </c>
      <c r="P87" t="str">
        <v>100wikipedia_adminship_election_data.txt</v>
      </c>
      <c r="Q87" t="str">
        <v>Real</v>
      </c>
      <c r="R87">
        <v>119</v>
      </c>
      <c r="S87">
        <v>549</v>
      </c>
      <c r="T87">
        <v>454</v>
      </c>
      <c r="U87">
        <v>95</v>
      </c>
      <c r="V87" s="34">
        <v>0.17</v>
      </c>
      <c r="W87" s="34">
        <v>0.08</v>
      </c>
    </row>
    <row r="88" spans="1:23" x14ac:dyDescent="0.25">
      <c r="A88" t="s">
        <v>481</v>
      </c>
      <c r="B88" t="s">
        <v>109</v>
      </c>
      <c r="C88">
        <v>190</v>
      </c>
      <c r="D88">
        <v>17955</v>
      </c>
      <c r="E88">
        <v>3727</v>
      </c>
      <c r="F88">
        <v>14228</v>
      </c>
      <c r="G88" s="34">
        <v>0.79</v>
      </c>
      <c r="H88" s="34">
        <v>1</v>
      </c>
      <c r="M88" s="36" t="s">
        <v>392</v>
      </c>
      <c r="N88" t="s">
        <v>392</v>
      </c>
      <c r="P88" t="str">
        <v>2500out.soc-sign-bitcoinalpha.txt</v>
      </c>
      <c r="Q88" t="str">
        <v>Real</v>
      </c>
      <c r="R88">
        <v>2501</v>
      </c>
      <c r="S88">
        <v>8471</v>
      </c>
      <c r="T88">
        <v>3846</v>
      </c>
      <c r="U88">
        <v>434</v>
      </c>
      <c r="V88" s="34">
        <v>0.05</v>
      </c>
      <c r="W88" s="34">
        <v>0</v>
      </c>
    </row>
    <row r="89" spans="1:23" x14ac:dyDescent="0.25">
      <c r="A89" t="s">
        <v>482</v>
      </c>
      <c r="B89" t="s">
        <v>109</v>
      </c>
      <c r="C89">
        <v>190</v>
      </c>
      <c r="D89">
        <v>17955</v>
      </c>
      <c r="E89">
        <v>14379</v>
      </c>
      <c r="F89">
        <v>3576</v>
      </c>
      <c r="G89" s="34">
        <v>0.2</v>
      </c>
      <c r="H89" s="34">
        <v>1</v>
      </c>
      <c r="M89" s="36" t="s">
        <v>390</v>
      </c>
      <c r="N89" t="s">
        <v>390</v>
      </c>
      <c r="P89" t="str">
        <v>2500soc-sign-epinions.txt</v>
      </c>
      <c r="Q89" t="str">
        <v>Real</v>
      </c>
      <c r="R89">
        <v>2516</v>
      </c>
      <c r="S89">
        <v>29630</v>
      </c>
      <c r="T89">
        <v>19979</v>
      </c>
      <c r="U89">
        <v>1131</v>
      </c>
      <c r="V89" s="34">
        <v>0.04</v>
      </c>
      <c r="W89" s="34">
        <v>0.01</v>
      </c>
    </row>
    <row r="90" spans="1:23" x14ac:dyDescent="0.25">
      <c r="A90" t="s">
        <v>483</v>
      </c>
      <c r="B90" t="s">
        <v>109</v>
      </c>
      <c r="C90">
        <v>190</v>
      </c>
      <c r="D90">
        <v>17955</v>
      </c>
      <c r="E90">
        <v>9041</v>
      </c>
      <c r="F90">
        <v>8914</v>
      </c>
      <c r="G90" s="34">
        <v>0.5</v>
      </c>
      <c r="H90" s="34">
        <v>1</v>
      </c>
      <c r="M90" s="36" t="s">
        <v>389</v>
      </c>
      <c r="N90" t="s">
        <v>389</v>
      </c>
      <c r="P90" t="str">
        <v>5000wikipedia_adminship_election_data.txt</v>
      </c>
      <c r="Q90" t="str">
        <v>Real</v>
      </c>
      <c r="R90">
        <v>5000</v>
      </c>
      <c r="S90">
        <v>24252</v>
      </c>
      <c r="T90">
        <v>16243</v>
      </c>
      <c r="U90">
        <v>3282</v>
      </c>
      <c r="V90" s="34">
        <v>0.14000000000000001</v>
      </c>
      <c r="W90" s="34">
        <v>0</v>
      </c>
    </row>
    <row r="91" spans="1:23" x14ac:dyDescent="0.25">
      <c r="A91" t="s">
        <v>484</v>
      </c>
      <c r="B91" t="s">
        <v>109</v>
      </c>
      <c r="C91">
        <v>190</v>
      </c>
      <c r="D91">
        <v>17955</v>
      </c>
      <c r="E91">
        <v>3533</v>
      </c>
      <c r="F91">
        <v>14422</v>
      </c>
      <c r="G91" s="34">
        <v>0.8</v>
      </c>
      <c r="H91" s="34">
        <v>1</v>
      </c>
      <c r="M91" s="36" t="s">
        <v>388</v>
      </c>
      <c r="N91" t="s">
        <v>388</v>
      </c>
      <c r="P91" t="str">
        <v>500out.soc-sign-bitcoinalpha.txt</v>
      </c>
      <c r="Q91" t="str">
        <v>Real</v>
      </c>
      <c r="R91">
        <v>500</v>
      </c>
      <c r="S91">
        <v>2697</v>
      </c>
      <c r="T91">
        <v>1416</v>
      </c>
      <c r="U91">
        <v>168</v>
      </c>
      <c r="V91" s="34">
        <v>0.06</v>
      </c>
      <c r="W91" s="34">
        <v>0.02</v>
      </c>
    </row>
    <row r="92" spans="1:23" x14ac:dyDescent="0.25">
      <c r="A92" t="s">
        <v>485</v>
      </c>
      <c r="B92" t="s">
        <v>109</v>
      </c>
      <c r="C92">
        <v>210</v>
      </c>
      <c r="D92">
        <v>21945</v>
      </c>
      <c r="E92">
        <v>17634</v>
      </c>
      <c r="F92">
        <v>4311</v>
      </c>
      <c r="G92" s="34">
        <v>0.2</v>
      </c>
      <c r="H92" s="34">
        <v>1</v>
      </c>
      <c r="M92" s="36" t="s">
        <v>387</v>
      </c>
      <c r="N92" t="s">
        <v>387</v>
      </c>
      <c r="P92" t="str">
        <v>500soc-sign-epinions.txt</v>
      </c>
      <c r="Q92" t="str">
        <v>Real</v>
      </c>
      <c r="R92">
        <v>570</v>
      </c>
      <c r="S92">
        <v>5187</v>
      </c>
      <c r="T92">
        <v>3592</v>
      </c>
      <c r="U92">
        <v>176</v>
      </c>
      <c r="V92" s="34">
        <v>0.03</v>
      </c>
      <c r="W92" s="34">
        <v>0.03</v>
      </c>
    </row>
    <row r="93" spans="1:23" x14ac:dyDescent="0.25">
      <c r="A93" t="s">
        <v>486</v>
      </c>
      <c r="B93" t="s">
        <v>109</v>
      </c>
      <c r="C93">
        <v>210</v>
      </c>
      <c r="D93">
        <v>21945</v>
      </c>
      <c r="E93">
        <v>11004</v>
      </c>
      <c r="F93">
        <v>10941</v>
      </c>
      <c r="G93" s="34">
        <v>0.5</v>
      </c>
      <c r="H93" s="34">
        <v>1</v>
      </c>
      <c r="M93" s="36" t="s">
        <v>386</v>
      </c>
      <c r="N93" t="s">
        <v>386</v>
      </c>
      <c r="P93" t="str">
        <v>500wikipedia_adminship_election_data.txt</v>
      </c>
      <c r="Q93" t="str">
        <v>Real</v>
      </c>
      <c r="R93">
        <v>510</v>
      </c>
      <c r="S93">
        <v>3026</v>
      </c>
      <c r="T93">
        <v>2486</v>
      </c>
      <c r="U93">
        <v>474</v>
      </c>
      <c r="V93" s="34">
        <v>0.16</v>
      </c>
      <c r="W93" s="34">
        <v>0.02</v>
      </c>
    </row>
    <row r="94" spans="1:23" x14ac:dyDescent="0.25">
      <c r="A94" t="s">
        <v>487</v>
      </c>
      <c r="B94" t="s">
        <v>109</v>
      </c>
      <c r="C94">
        <v>210</v>
      </c>
      <c r="D94">
        <v>21945</v>
      </c>
      <c r="E94">
        <v>4438</v>
      </c>
      <c r="F94">
        <v>17507</v>
      </c>
      <c r="G94" s="34">
        <v>0.8</v>
      </c>
      <c r="H94" s="34">
        <v>1</v>
      </c>
      <c r="M94" s="36" t="s">
        <v>385</v>
      </c>
      <c r="N94" t="s">
        <v>385</v>
      </c>
      <c r="P94" t="str">
        <v>out.convote.txt</v>
      </c>
      <c r="Q94" t="str">
        <v>Real</v>
      </c>
      <c r="R94">
        <v>219</v>
      </c>
      <c r="S94">
        <v>523</v>
      </c>
      <c r="T94">
        <v>415</v>
      </c>
      <c r="U94">
        <v>106</v>
      </c>
      <c r="V94" s="34">
        <v>0.2</v>
      </c>
      <c r="W94" s="34">
        <v>0.02</v>
      </c>
    </row>
    <row r="95" spans="1:23" x14ac:dyDescent="0.25">
      <c r="A95" t="s">
        <v>488</v>
      </c>
      <c r="B95" t="s">
        <v>109</v>
      </c>
      <c r="C95">
        <v>210</v>
      </c>
      <c r="D95">
        <v>21945</v>
      </c>
      <c r="E95">
        <v>17521</v>
      </c>
      <c r="F95">
        <v>4424</v>
      </c>
      <c r="G95" s="34">
        <v>0.2</v>
      </c>
      <c r="H95" s="34">
        <v>1</v>
      </c>
      <c r="M95" s="36" t="s">
        <v>391</v>
      </c>
      <c r="N95" t="s">
        <v>391</v>
      </c>
      <c r="P95" t="str">
        <v>out.moreno_sampson_sampson</v>
      </c>
      <c r="Q95" t="str">
        <v>Real</v>
      </c>
      <c r="R95">
        <v>18</v>
      </c>
      <c r="S95">
        <v>189</v>
      </c>
      <c r="T95">
        <v>71</v>
      </c>
      <c r="U95">
        <v>72</v>
      </c>
      <c r="V95" s="34">
        <v>0.38</v>
      </c>
      <c r="W95" s="34">
        <v>1.24</v>
      </c>
    </row>
    <row r="96" spans="1:23" x14ac:dyDescent="0.25">
      <c r="A96" t="s">
        <v>489</v>
      </c>
      <c r="B96" t="s">
        <v>109</v>
      </c>
      <c r="C96">
        <v>210</v>
      </c>
      <c r="D96">
        <v>21945</v>
      </c>
      <c r="E96">
        <v>10986</v>
      </c>
      <c r="F96">
        <v>10959</v>
      </c>
      <c r="G96" s="34">
        <v>0.5</v>
      </c>
      <c r="H96" s="34">
        <v>1</v>
      </c>
      <c r="M96" s="36" t="s">
        <v>383</v>
      </c>
      <c r="N96" t="s">
        <v>383</v>
      </c>
      <c r="P96" t="str">
        <v>out.ucidata-gama</v>
      </c>
      <c r="Q96" t="str">
        <v>Real</v>
      </c>
      <c r="R96">
        <v>16</v>
      </c>
      <c r="S96">
        <v>58</v>
      </c>
      <c r="T96">
        <v>29</v>
      </c>
      <c r="U96">
        <v>29</v>
      </c>
      <c r="V96" s="34">
        <v>0.5</v>
      </c>
      <c r="W96" s="34">
        <v>0.48</v>
      </c>
    </row>
    <row r="97" spans="1:8" x14ac:dyDescent="0.25">
      <c r="A97" t="s">
        <v>490</v>
      </c>
      <c r="B97" t="s">
        <v>109</v>
      </c>
      <c r="C97">
        <v>210</v>
      </c>
      <c r="D97">
        <v>21945</v>
      </c>
      <c r="E97">
        <v>4463</v>
      </c>
      <c r="F97">
        <v>17482</v>
      </c>
      <c r="G97" s="34">
        <v>0.8</v>
      </c>
      <c r="H97" s="34">
        <v>1</v>
      </c>
    </row>
    <row r="98" spans="1:8" x14ac:dyDescent="0.25">
      <c r="A98" t="s">
        <v>491</v>
      </c>
      <c r="B98" t="s">
        <v>109</v>
      </c>
      <c r="C98">
        <v>210</v>
      </c>
      <c r="D98">
        <v>21945</v>
      </c>
      <c r="E98">
        <v>17553</v>
      </c>
      <c r="F98">
        <v>4392</v>
      </c>
      <c r="G98" s="34">
        <v>0.2</v>
      </c>
      <c r="H98" s="34">
        <v>1</v>
      </c>
    </row>
    <row r="99" spans="1:8" x14ac:dyDescent="0.25">
      <c r="A99" t="s">
        <v>492</v>
      </c>
      <c r="B99" t="s">
        <v>109</v>
      </c>
      <c r="C99">
        <v>210</v>
      </c>
      <c r="D99">
        <v>21945</v>
      </c>
      <c r="E99">
        <v>10839</v>
      </c>
      <c r="F99">
        <v>11106</v>
      </c>
      <c r="G99" s="34">
        <v>0.51</v>
      </c>
      <c r="H99" s="34">
        <v>1</v>
      </c>
    </row>
    <row r="100" spans="1:8" x14ac:dyDescent="0.25">
      <c r="A100" t="s">
        <v>493</v>
      </c>
      <c r="B100" t="s">
        <v>109</v>
      </c>
      <c r="C100">
        <v>210</v>
      </c>
      <c r="D100">
        <v>21945</v>
      </c>
      <c r="E100">
        <v>4383</v>
      </c>
      <c r="F100">
        <v>17562</v>
      </c>
      <c r="G100" s="34">
        <v>0.8</v>
      </c>
      <c r="H100" s="34">
        <v>1</v>
      </c>
    </row>
    <row r="101" spans="1:8" x14ac:dyDescent="0.25">
      <c r="A101" t="s">
        <v>494</v>
      </c>
      <c r="B101" t="s">
        <v>109</v>
      </c>
      <c r="C101">
        <v>230</v>
      </c>
      <c r="D101">
        <v>26335</v>
      </c>
      <c r="E101">
        <v>20972</v>
      </c>
      <c r="F101">
        <v>5363</v>
      </c>
      <c r="G101" s="34">
        <v>0.2</v>
      </c>
      <c r="H101" s="34">
        <v>1</v>
      </c>
    </row>
    <row r="102" spans="1:8" x14ac:dyDescent="0.25">
      <c r="A102" t="s">
        <v>495</v>
      </c>
      <c r="B102" t="s">
        <v>109</v>
      </c>
      <c r="C102">
        <v>230</v>
      </c>
      <c r="D102">
        <v>26335</v>
      </c>
      <c r="E102">
        <v>13244</v>
      </c>
      <c r="F102">
        <v>13091</v>
      </c>
      <c r="G102" s="34">
        <v>0.5</v>
      </c>
      <c r="H102" s="34">
        <v>1</v>
      </c>
    </row>
    <row r="103" spans="1:8" x14ac:dyDescent="0.25">
      <c r="A103" t="s">
        <v>496</v>
      </c>
      <c r="B103" t="s">
        <v>109</v>
      </c>
      <c r="C103">
        <v>230</v>
      </c>
      <c r="D103">
        <v>26335</v>
      </c>
      <c r="E103">
        <v>5247</v>
      </c>
      <c r="F103">
        <v>21088</v>
      </c>
      <c r="G103" s="34">
        <v>0.8</v>
      </c>
      <c r="H103" s="34">
        <v>1</v>
      </c>
    </row>
    <row r="104" spans="1:8" x14ac:dyDescent="0.25">
      <c r="A104" t="s">
        <v>497</v>
      </c>
      <c r="B104" t="s">
        <v>109</v>
      </c>
      <c r="C104">
        <v>230</v>
      </c>
      <c r="D104">
        <v>26335</v>
      </c>
      <c r="E104">
        <v>21070</v>
      </c>
      <c r="F104">
        <v>5265</v>
      </c>
      <c r="G104" s="34">
        <v>0.2</v>
      </c>
      <c r="H104" s="34">
        <v>1</v>
      </c>
    </row>
    <row r="105" spans="1:8" x14ac:dyDescent="0.25">
      <c r="A105" t="s">
        <v>498</v>
      </c>
      <c r="B105" t="s">
        <v>109</v>
      </c>
      <c r="C105">
        <v>230</v>
      </c>
      <c r="D105">
        <v>26335</v>
      </c>
      <c r="E105">
        <v>13059</v>
      </c>
      <c r="F105">
        <v>13276</v>
      </c>
      <c r="G105" s="34">
        <v>0.5</v>
      </c>
      <c r="H105" s="34">
        <v>1</v>
      </c>
    </row>
    <row r="106" spans="1:8" x14ac:dyDescent="0.25">
      <c r="A106" t="s">
        <v>499</v>
      </c>
      <c r="B106" t="s">
        <v>109</v>
      </c>
      <c r="C106">
        <v>230</v>
      </c>
      <c r="D106">
        <v>26335</v>
      </c>
      <c r="E106">
        <v>5233</v>
      </c>
      <c r="F106">
        <v>21102</v>
      </c>
      <c r="G106" s="34">
        <v>0.8</v>
      </c>
      <c r="H106" s="34">
        <v>1</v>
      </c>
    </row>
    <row r="107" spans="1:8" x14ac:dyDescent="0.25">
      <c r="A107" t="s">
        <v>500</v>
      </c>
      <c r="B107" t="s">
        <v>109</v>
      </c>
      <c r="C107">
        <v>230</v>
      </c>
      <c r="D107">
        <v>26335</v>
      </c>
      <c r="E107">
        <v>21107</v>
      </c>
      <c r="F107">
        <v>5228</v>
      </c>
      <c r="G107" s="34">
        <v>0.2</v>
      </c>
      <c r="H107" s="34">
        <v>1</v>
      </c>
    </row>
    <row r="108" spans="1:8" x14ac:dyDescent="0.25">
      <c r="A108" t="s">
        <v>501</v>
      </c>
      <c r="B108" t="s">
        <v>109</v>
      </c>
      <c r="C108">
        <v>230</v>
      </c>
      <c r="D108">
        <v>26335</v>
      </c>
      <c r="E108">
        <v>13252</v>
      </c>
      <c r="F108">
        <v>13083</v>
      </c>
      <c r="G108" s="34">
        <v>0.5</v>
      </c>
      <c r="H108" s="34">
        <v>1</v>
      </c>
    </row>
    <row r="109" spans="1:8" x14ac:dyDescent="0.25">
      <c r="A109" t="s">
        <v>502</v>
      </c>
      <c r="B109" t="s">
        <v>109</v>
      </c>
      <c r="C109">
        <v>230</v>
      </c>
      <c r="D109">
        <v>26335</v>
      </c>
      <c r="E109">
        <v>5254</v>
      </c>
      <c r="F109">
        <v>21081</v>
      </c>
      <c r="G109" s="34">
        <v>0.8</v>
      </c>
      <c r="H109" s="34">
        <v>1</v>
      </c>
    </row>
    <row r="110" spans="1:8" x14ac:dyDescent="0.25">
      <c r="A110" t="s">
        <v>503</v>
      </c>
      <c r="B110" t="s">
        <v>228</v>
      </c>
      <c r="C110">
        <v>10</v>
      </c>
      <c r="D110">
        <v>6</v>
      </c>
      <c r="E110">
        <v>5</v>
      </c>
      <c r="F110">
        <v>1</v>
      </c>
      <c r="G110" s="34">
        <v>0.17</v>
      </c>
      <c r="H110" s="34">
        <v>0.13</v>
      </c>
    </row>
    <row r="111" spans="1:8" x14ac:dyDescent="0.25">
      <c r="A111" t="s">
        <v>504</v>
      </c>
      <c r="B111" t="s">
        <v>228</v>
      </c>
      <c r="C111">
        <v>10</v>
      </c>
      <c r="D111">
        <v>8</v>
      </c>
      <c r="E111">
        <v>4</v>
      </c>
      <c r="F111">
        <v>4</v>
      </c>
      <c r="G111" s="34">
        <v>0.5</v>
      </c>
      <c r="H111" s="34">
        <v>0.18</v>
      </c>
    </row>
    <row r="112" spans="1:8" x14ac:dyDescent="0.25">
      <c r="A112" t="s">
        <v>505</v>
      </c>
      <c r="B112" t="s">
        <v>228</v>
      </c>
      <c r="C112">
        <v>10</v>
      </c>
      <c r="D112">
        <v>9</v>
      </c>
      <c r="E112">
        <v>2</v>
      </c>
      <c r="F112">
        <v>7</v>
      </c>
      <c r="G112" s="34">
        <v>0.78</v>
      </c>
      <c r="H112" s="34">
        <v>0.2</v>
      </c>
    </row>
    <row r="113" spans="1:8" x14ac:dyDescent="0.25">
      <c r="A113" t="s">
        <v>506</v>
      </c>
      <c r="B113" t="s">
        <v>228</v>
      </c>
      <c r="C113">
        <v>10</v>
      </c>
      <c r="D113">
        <v>21</v>
      </c>
      <c r="E113">
        <v>17</v>
      </c>
      <c r="F113">
        <v>4</v>
      </c>
      <c r="G113" s="34">
        <v>0.19</v>
      </c>
      <c r="H113" s="34">
        <v>0.47</v>
      </c>
    </row>
    <row r="114" spans="1:8" x14ac:dyDescent="0.25">
      <c r="A114" t="s">
        <v>507</v>
      </c>
      <c r="B114" t="s">
        <v>228</v>
      </c>
      <c r="C114">
        <v>10</v>
      </c>
      <c r="D114">
        <v>25</v>
      </c>
      <c r="E114">
        <v>14</v>
      </c>
      <c r="F114">
        <v>11</v>
      </c>
      <c r="G114" s="34">
        <v>0.44</v>
      </c>
      <c r="H114" s="34">
        <v>0.56000000000000005</v>
      </c>
    </row>
    <row r="115" spans="1:8" x14ac:dyDescent="0.25">
      <c r="A115" t="s">
        <v>508</v>
      </c>
      <c r="B115" t="s">
        <v>228</v>
      </c>
      <c r="C115">
        <v>10</v>
      </c>
      <c r="D115">
        <v>26</v>
      </c>
      <c r="E115">
        <v>8</v>
      </c>
      <c r="F115">
        <v>18</v>
      </c>
      <c r="G115" s="34">
        <v>0.69</v>
      </c>
      <c r="H115" s="34">
        <v>0.57999999999999996</v>
      </c>
    </row>
    <row r="116" spans="1:8" x14ac:dyDescent="0.25">
      <c r="A116" t="s">
        <v>509</v>
      </c>
      <c r="B116" t="s">
        <v>228</v>
      </c>
      <c r="C116">
        <v>10</v>
      </c>
      <c r="D116">
        <v>34</v>
      </c>
      <c r="E116">
        <v>27</v>
      </c>
      <c r="F116">
        <v>7</v>
      </c>
      <c r="G116" s="34">
        <v>0.21</v>
      </c>
      <c r="H116" s="34">
        <v>0.76</v>
      </c>
    </row>
    <row r="117" spans="1:8" x14ac:dyDescent="0.25">
      <c r="A117" t="s">
        <v>510</v>
      </c>
      <c r="B117" t="s">
        <v>228</v>
      </c>
      <c r="C117">
        <v>10</v>
      </c>
      <c r="D117">
        <v>35</v>
      </c>
      <c r="E117">
        <v>17</v>
      </c>
      <c r="F117">
        <v>18</v>
      </c>
      <c r="G117" s="34">
        <v>0.51</v>
      </c>
      <c r="H117" s="34">
        <v>0.78</v>
      </c>
    </row>
    <row r="118" spans="1:8" x14ac:dyDescent="0.25">
      <c r="A118" t="s">
        <v>511</v>
      </c>
      <c r="B118" t="s">
        <v>228</v>
      </c>
      <c r="C118">
        <v>10</v>
      </c>
      <c r="D118">
        <v>33</v>
      </c>
      <c r="E118">
        <v>5</v>
      </c>
      <c r="F118">
        <v>28</v>
      </c>
      <c r="G118" s="34">
        <v>0.85</v>
      </c>
      <c r="H118" s="34">
        <v>0.73</v>
      </c>
    </row>
    <row r="119" spans="1:8" x14ac:dyDescent="0.25">
      <c r="A119" t="s">
        <v>512</v>
      </c>
      <c r="B119" t="s">
        <v>228</v>
      </c>
      <c r="C119">
        <v>30</v>
      </c>
      <c r="D119">
        <v>106</v>
      </c>
      <c r="E119">
        <v>89</v>
      </c>
      <c r="F119">
        <v>17</v>
      </c>
      <c r="G119" s="34">
        <v>0.16</v>
      </c>
      <c r="H119" s="34">
        <v>0.24</v>
      </c>
    </row>
    <row r="120" spans="1:8" x14ac:dyDescent="0.25">
      <c r="A120" t="s">
        <v>513</v>
      </c>
      <c r="B120" t="s">
        <v>228</v>
      </c>
      <c r="C120">
        <v>30</v>
      </c>
      <c r="D120">
        <v>85</v>
      </c>
      <c r="E120">
        <v>42</v>
      </c>
      <c r="F120">
        <v>43</v>
      </c>
      <c r="G120" s="34">
        <v>0.51</v>
      </c>
      <c r="H120" s="34">
        <v>0.2</v>
      </c>
    </row>
    <row r="121" spans="1:8" x14ac:dyDescent="0.25">
      <c r="A121" t="s">
        <v>514</v>
      </c>
      <c r="B121" t="s">
        <v>228</v>
      </c>
      <c r="C121">
        <v>30</v>
      </c>
      <c r="D121">
        <v>83</v>
      </c>
      <c r="E121">
        <v>14</v>
      </c>
      <c r="F121">
        <v>69</v>
      </c>
      <c r="G121" s="34">
        <v>0.83</v>
      </c>
      <c r="H121" s="34">
        <v>0.19</v>
      </c>
    </row>
    <row r="122" spans="1:8" x14ac:dyDescent="0.25">
      <c r="A122" t="s">
        <v>515</v>
      </c>
      <c r="B122" t="s">
        <v>228</v>
      </c>
      <c r="C122">
        <v>30</v>
      </c>
      <c r="D122">
        <v>227</v>
      </c>
      <c r="E122">
        <v>184</v>
      </c>
      <c r="F122">
        <v>43</v>
      </c>
      <c r="G122" s="34">
        <v>0.19</v>
      </c>
      <c r="H122" s="34">
        <v>0.52</v>
      </c>
    </row>
    <row r="123" spans="1:8" x14ac:dyDescent="0.25">
      <c r="A123" t="s">
        <v>516</v>
      </c>
      <c r="B123" t="s">
        <v>228</v>
      </c>
      <c r="C123">
        <v>30</v>
      </c>
      <c r="D123">
        <v>216</v>
      </c>
      <c r="E123">
        <v>108</v>
      </c>
      <c r="F123">
        <v>108</v>
      </c>
      <c r="G123" s="34">
        <v>0.5</v>
      </c>
      <c r="H123" s="34">
        <v>0.5</v>
      </c>
    </row>
    <row r="124" spans="1:8" x14ac:dyDescent="0.25">
      <c r="A124" t="s">
        <v>517</v>
      </c>
      <c r="B124" t="s">
        <v>228</v>
      </c>
      <c r="C124">
        <v>30</v>
      </c>
      <c r="D124">
        <v>216</v>
      </c>
      <c r="E124">
        <v>42</v>
      </c>
      <c r="F124">
        <v>174</v>
      </c>
      <c r="G124" s="34">
        <v>0.81</v>
      </c>
      <c r="H124" s="34">
        <v>0.5</v>
      </c>
    </row>
    <row r="125" spans="1:8" x14ac:dyDescent="0.25">
      <c r="A125" t="s">
        <v>518</v>
      </c>
      <c r="B125" t="s">
        <v>228</v>
      </c>
      <c r="C125">
        <v>30</v>
      </c>
      <c r="D125">
        <v>348</v>
      </c>
      <c r="E125">
        <v>279</v>
      </c>
      <c r="F125">
        <v>69</v>
      </c>
      <c r="G125" s="34">
        <v>0.2</v>
      </c>
      <c r="H125" s="34">
        <v>0.8</v>
      </c>
    </row>
    <row r="126" spans="1:8" x14ac:dyDescent="0.25">
      <c r="A126" t="s">
        <v>519</v>
      </c>
      <c r="B126" t="s">
        <v>228</v>
      </c>
      <c r="C126">
        <v>30</v>
      </c>
      <c r="D126">
        <v>345</v>
      </c>
      <c r="E126">
        <v>171</v>
      </c>
      <c r="F126">
        <v>174</v>
      </c>
      <c r="G126" s="34">
        <v>0.5</v>
      </c>
      <c r="H126" s="34">
        <v>0.79</v>
      </c>
    </row>
    <row r="127" spans="1:8" x14ac:dyDescent="0.25">
      <c r="A127" t="s">
        <v>520</v>
      </c>
      <c r="B127" t="s">
        <v>228</v>
      </c>
      <c r="C127">
        <v>30</v>
      </c>
      <c r="D127">
        <v>348</v>
      </c>
      <c r="E127">
        <v>70</v>
      </c>
      <c r="F127">
        <v>278</v>
      </c>
      <c r="G127" s="34">
        <v>0.8</v>
      </c>
      <c r="H127" s="34">
        <v>0.8</v>
      </c>
    </row>
    <row r="128" spans="1:8" x14ac:dyDescent="0.25">
      <c r="A128" t="s">
        <v>521</v>
      </c>
      <c r="B128" t="s">
        <v>228</v>
      </c>
      <c r="C128">
        <v>50</v>
      </c>
      <c r="D128">
        <v>260</v>
      </c>
      <c r="E128">
        <v>211</v>
      </c>
      <c r="F128">
        <v>49</v>
      </c>
      <c r="G128" s="34">
        <v>0.19</v>
      </c>
      <c r="H128" s="34">
        <v>0.21</v>
      </c>
    </row>
    <row r="129" spans="1:8" x14ac:dyDescent="0.25">
      <c r="A129" t="s">
        <v>522</v>
      </c>
      <c r="B129" t="s">
        <v>228</v>
      </c>
      <c r="C129">
        <v>50</v>
      </c>
      <c r="D129">
        <v>235</v>
      </c>
      <c r="E129">
        <v>113</v>
      </c>
      <c r="F129">
        <v>122</v>
      </c>
      <c r="G129" s="34">
        <v>0.52</v>
      </c>
      <c r="H129" s="34">
        <v>0.19</v>
      </c>
    </row>
    <row r="130" spans="1:8" x14ac:dyDescent="0.25">
      <c r="A130" t="s">
        <v>523</v>
      </c>
      <c r="B130" t="s">
        <v>228</v>
      </c>
      <c r="C130">
        <v>50</v>
      </c>
      <c r="D130">
        <v>248</v>
      </c>
      <c r="E130">
        <v>52</v>
      </c>
      <c r="F130">
        <v>196</v>
      </c>
      <c r="G130" s="34">
        <v>0.79</v>
      </c>
      <c r="H130" s="34">
        <v>0.2</v>
      </c>
    </row>
    <row r="131" spans="1:8" x14ac:dyDescent="0.25">
      <c r="A131" t="s">
        <v>524</v>
      </c>
      <c r="B131" t="s">
        <v>228</v>
      </c>
      <c r="C131">
        <v>50</v>
      </c>
      <c r="D131">
        <v>634</v>
      </c>
      <c r="E131">
        <v>512</v>
      </c>
      <c r="F131">
        <v>122</v>
      </c>
      <c r="G131" s="34">
        <v>0.19</v>
      </c>
      <c r="H131" s="34">
        <v>0.52</v>
      </c>
    </row>
    <row r="132" spans="1:8" x14ac:dyDescent="0.25">
      <c r="A132" t="s">
        <v>525</v>
      </c>
      <c r="B132" t="s">
        <v>228</v>
      </c>
      <c r="C132">
        <v>50</v>
      </c>
      <c r="D132">
        <v>609</v>
      </c>
      <c r="E132">
        <v>303</v>
      </c>
      <c r="F132">
        <v>306</v>
      </c>
      <c r="G132" s="34">
        <v>0.5</v>
      </c>
      <c r="H132" s="34">
        <v>0.5</v>
      </c>
    </row>
    <row r="133" spans="1:8" x14ac:dyDescent="0.25">
      <c r="A133" t="s">
        <v>526</v>
      </c>
      <c r="B133" t="s">
        <v>228</v>
      </c>
      <c r="C133">
        <v>50</v>
      </c>
      <c r="D133">
        <v>609</v>
      </c>
      <c r="E133">
        <v>119</v>
      </c>
      <c r="F133">
        <v>490</v>
      </c>
      <c r="G133" s="34">
        <v>0.8</v>
      </c>
      <c r="H133" s="34">
        <v>0.5</v>
      </c>
    </row>
    <row r="134" spans="1:8" x14ac:dyDescent="0.25">
      <c r="A134" t="s">
        <v>527</v>
      </c>
      <c r="B134" t="s">
        <v>228</v>
      </c>
      <c r="C134">
        <v>50</v>
      </c>
      <c r="D134">
        <v>1014</v>
      </c>
      <c r="E134">
        <v>818</v>
      </c>
      <c r="F134">
        <v>196</v>
      </c>
      <c r="G134" s="34">
        <v>0.19</v>
      </c>
      <c r="H134" s="34">
        <v>0.83</v>
      </c>
    </row>
    <row r="135" spans="1:8" x14ac:dyDescent="0.25">
      <c r="A135" t="s">
        <v>528</v>
      </c>
      <c r="B135" t="s">
        <v>228</v>
      </c>
      <c r="C135">
        <v>50</v>
      </c>
      <c r="D135">
        <v>1025</v>
      </c>
      <c r="E135">
        <v>535</v>
      </c>
      <c r="F135">
        <v>490</v>
      </c>
      <c r="G135" s="34">
        <v>0.48</v>
      </c>
      <c r="H135" s="34">
        <v>0.84</v>
      </c>
    </row>
    <row r="136" spans="1:8" x14ac:dyDescent="0.25">
      <c r="A136" t="s">
        <v>529</v>
      </c>
      <c r="B136" t="s">
        <v>228</v>
      </c>
      <c r="C136">
        <v>50</v>
      </c>
      <c r="D136">
        <v>967</v>
      </c>
      <c r="E136">
        <v>183</v>
      </c>
      <c r="F136">
        <v>784</v>
      </c>
      <c r="G136" s="34">
        <v>0.81</v>
      </c>
      <c r="H136" s="34">
        <v>0.79</v>
      </c>
    </row>
    <row r="137" spans="1:8" x14ac:dyDescent="0.25">
      <c r="A137" t="s">
        <v>530</v>
      </c>
      <c r="B137" t="s">
        <v>228</v>
      </c>
      <c r="C137">
        <v>70</v>
      </c>
      <c r="D137">
        <v>482</v>
      </c>
      <c r="E137">
        <v>386</v>
      </c>
      <c r="F137">
        <v>96</v>
      </c>
      <c r="G137" s="34">
        <v>0.2</v>
      </c>
      <c r="H137" s="34">
        <v>0.2</v>
      </c>
    </row>
    <row r="138" spans="1:8" x14ac:dyDescent="0.25">
      <c r="A138" t="s">
        <v>531</v>
      </c>
      <c r="B138" t="s">
        <v>228</v>
      </c>
      <c r="C138">
        <v>70</v>
      </c>
      <c r="D138">
        <v>472</v>
      </c>
      <c r="E138">
        <v>231</v>
      </c>
      <c r="F138">
        <v>241</v>
      </c>
      <c r="G138" s="34">
        <v>0.51</v>
      </c>
      <c r="H138" s="34">
        <v>0.2</v>
      </c>
    </row>
    <row r="139" spans="1:8" x14ac:dyDescent="0.25">
      <c r="A139" t="s">
        <v>532</v>
      </c>
      <c r="B139" t="s">
        <v>228</v>
      </c>
      <c r="C139">
        <v>70</v>
      </c>
      <c r="D139">
        <v>496</v>
      </c>
      <c r="E139">
        <v>110</v>
      </c>
      <c r="F139">
        <v>386</v>
      </c>
      <c r="G139" s="34">
        <v>0.78</v>
      </c>
      <c r="H139" s="34">
        <v>0.21</v>
      </c>
    </row>
    <row r="140" spans="1:8" x14ac:dyDescent="0.25">
      <c r="A140" t="s">
        <v>533</v>
      </c>
      <c r="B140" t="s">
        <v>228</v>
      </c>
      <c r="C140">
        <v>70</v>
      </c>
      <c r="D140">
        <v>1230</v>
      </c>
      <c r="E140">
        <v>989</v>
      </c>
      <c r="F140">
        <v>241</v>
      </c>
      <c r="G140" s="34">
        <v>0.2</v>
      </c>
      <c r="H140" s="34">
        <v>0.51</v>
      </c>
    </row>
    <row r="141" spans="1:8" x14ac:dyDescent="0.25">
      <c r="A141" t="s">
        <v>534</v>
      </c>
      <c r="B141" t="s">
        <v>228</v>
      </c>
      <c r="C141">
        <v>70</v>
      </c>
      <c r="D141">
        <v>1217</v>
      </c>
      <c r="E141">
        <v>614</v>
      </c>
      <c r="F141">
        <v>603</v>
      </c>
      <c r="G141" s="34">
        <v>0.5</v>
      </c>
      <c r="H141" s="34">
        <v>0.5</v>
      </c>
    </row>
    <row r="142" spans="1:8" x14ac:dyDescent="0.25">
      <c r="A142" t="s">
        <v>535</v>
      </c>
      <c r="B142" t="s">
        <v>228</v>
      </c>
      <c r="C142">
        <v>70</v>
      </c>
      <c r="D142">
        <v>1220</v>
      </c>
      <c r="E142">
        <v>254</v>
      </c>
      <c r="F142">
        <v>966</v>
      </c>
      <c r="G142" s="34">
        <v>0.79</v>
      </c>
      <c r="H142" s="34">
        <v>0.51</v>
      </c>
    </row>
    <row r="143" spans="1:8" x14ac:dyDescent="0.25">
      <c r="A143" t="s">
        <v>536</v>
      </c>
      <c r="B143" t="s">
        <v>228</v>
      </c>
      <c r="C143">
        <v>70</v>
      </c>
      <c r="D143">
        <v>2008</v>
      </c>
      <c r="E143">
        <v>1622</v>
      </c>
      <c r="F143">
        <v>386</v>
      </c>
      <c r="G143" s="34">
        <v>0.19</v>
      </c>
      <c r="H143" s="34">
        <v>0.83</v>
      </c>
    </row>
    <row r="144" spans="1:8" x14ac:dyDescent="0.25">
      <c r="A144" t="s">
        <v>537</v>
      </c>
      <c r="B144" t="s">
        <v>228</v>
      </c>
      <c r="C144">
        <v>70</v>
      </c>
      <c r="D144">
        <v>1979</v>
      </c>
      <c r="E144">
        <v>1013</v>
      </c>
      <c r="F144">
        <v>966</v>
      </c>
      <c r="G144" s="34">
        <v>0.49</v>
      </c>
      <c r="H144" s="34">
        <v>0.82</v>
      </c>
    </row>
    <row r="145" spans="1:8" x14ac:dyDescent="0.25">
      <c r="A145" t="s">
        <v>538</v>
      </c>
      <c r="B145" t="s">
        <v>228</v>
      </c>
      <c r="C145">
        <v>70</v>
      </c>
      <c r="D145">
        <v>1938</v>
      </c>
      <c r="E145">
        <v>393</v>
      </c>
      <c r="F145">
        <v>1545</v>
      </c>
      <c r="G145" s="34">
        <v>0.8</v>
      </c>
      <c r="H145" s="34">
        <v>0.8</v>
      </c>
    </row>
    <row r="146" spans="1:8" x14ac:dyDescent="0.25">
      <c r="A146" t="s">
        <v>539</v>
      </c>
      <c r="B146" t="s">
        <v>228</v>
      </c>
      <c r="C146">
        <v>90</v>
      </c>
      <c r="D146">
        <v>827</v>
      </c>
      <c r="E146">
        <v>667</v>
      </c>
      <c r="F146">
        <v>160</v>
      </c>
      <c r="G146" s="34">
        <v>0.19</v>
      </c>
      <c r="H146" s="34">
        <v>0.21</v>
      </c>
    </row>
    <row r="147" spans="1:8" x14ac:dyDescent="0.25">
      <c r="A147" t="s">
        <v>540</v>
      </c>
      <c r="B147" t="s">
        <v>228</v>
      </c>
      <c r="C147">
        <v>90</v>
      </c>
      <c r="D147">
        <v>799</v>
      </c>
      <c r="E147">
        <v>399</v>
      </c>
      <c r="F147">
        <v>400</v>
      </c>
      <c r="G147" s="34">
        <v>0.5</v>
      </c>
      <c r="H147" s="34">
        <v>0.2</v>
      </c>
    </row>
    <row r="148" spans="1:8" x14ac:dyDescent="0.25">
      <c r="A148" t="s">
        <v>541</v>
      </c>
      <c r="B148" t="s">
        <v>228</v>
      </c>
      <c r="C148">
        <v>90</v>
      </c>
      <c r="D148">
        <v>816</v>
      </c>
      <c r="E148">
        <v>176</v>
      </c>
      <c r="F148">
        <v>640</v>
      </c>
      <c r="G148" s="34">
        <v>0.78</v>
      </c>
      <c r="H148" s="34">
        <v>0.2</v>
      </c>
    </row>
    <row r="149" spans="1:8" x14ac:dyDescent="0.25">
      <c r="A149" t="s">
        <v>542</v>
      </c>
      <c r="B149" t="s">
        <v>228</v>
      </c>
      <c r="C149">
        <v>90</v>
      </c>
      <c r="D149">
        <v>2014</v>
      </c>
      <c r="E149">
        <v>1614</v>
      </c>
      <c r="F149">
        <v>400</v>
      </c>
      <c r="G149" s="34">
        <v>0.2</v>
      </c>
      <c r="H149" s="34">
        <v>0.5</v>
      </c>
    </row>
    <row r="150" spans="1:8" x14ac:dyDescent="0.25">
      <c r="A150" t="s">
        <v>543</v>
      </c>
      <c r="B150" t="s">
        <v>228</v>
      </c>
      <c r="C150">
        <v>90</v>
      </c>
      <c r="D150">
        <v>2073</v>
      </c>
      <c r="E150">
        <v>1072</v>
      </c>
      <c r="F150">
        <v>1001</v>
      </c>
      <c r="G150" s="34">
        <v>0.48</v>
      </c>
      <c r="H150" s="34">
        <v>0.52</v>
      </c>
    </row>
    <row r="151" spans="1:8" x14ac:dyDescent="0.25">
      <c r="A151" t="s">
        <v>544</v>
      </c>
      <c r="B151" t="s">
        <v>228</v>
      </c>
      <c r="C151">
        <v>90</v>
      </c>
      <c r="D151">
        <v>2106</v>
      </c>
      <c r="E151">
        <v>504</v>
      </c>
      <c r="F151">
        <v>1602</v>
      </c>
      <c r="G151" s="34">
        <v>0.76</v>
      </c>
      <c r="H151" s="34">
        <v>0.53</v>
      </c>
    </row>
    <row r="152" spans="1:8" x14ac:dyDescent="0.25">
      <c r="A152" t="s">
        <v>545</v>
      </c>
      <c r="B152" t="s">
        <v>228</v>
      </c>
      <c r="C152">
        <v>90</v>
      </c>
      <c r="D152">
        <v>3088</v>
      </c>
      <c r="E152">
        <v>2448</v>
      </c>
      <c r="F152">
        <v>640</v>
      </c>
      <c r="G152" s="34">
        <v>0.21</v>
      </c>
      <c r="H152" s="34">
        <v>0.77</v>
      </c>
    </row>
    <row r="153" spans="1:8" x14ac:dyDescent="0.25">
      <c r="A153" t="s">
        <v>546</v>
      </c>
      <c r="B153" t="s">
        <v>228</v>
      </c>
      <c r="C153">
        <v>90</v>
      </c>
      <c r="D153">
        <v>3303</v>
      </c>
      <c r="E153">
        <v>1701</v>
      </c>
      <c r="F153">
        <v>1602</v>
      </c>
      <c r="G153" s="34">
        <v>0.49</v>
      </c>
      <c r="H153" s="34">
        <v>0.82</v>
      </c>
    </row>
    <row r="154" spans="1:8" x14ac:dyDescent="0.25">
      <c r="A154" t="s">
        <v>547</v>
      </c>
      <c r="B154" t="s">
        <v>228</v>
      </c>
      <c r="C154">
        <v>90</v>
      </c>
      <c r="D154">
        <v>3226</v>
      </c>
      <c r="E154">
        <v>663</v>
      </c>
      <c r="F154">
        <v>2563</v>
      </c>
      <c r="G154" s="34">
        <v>0.79</v>
      </c>
      <c r="H154" s="34">
        <v>0.81</v>
      </c>
    </row>
    <row r="155" spans="1:8" x14ac:dyDescent="0.25">
      <c r="A155" t="s">
        <v>548</v>
      </c>
      <c r="B155" t="s">
        <v>228</v>
      </c>
      <c r="C155">
        <v>110</v>
      </c>
      <c r="D155">
        <v>1257</v>
      </c>
      <c r="E155">
        <v>1018</v>
      </c>
      <c r="F155">
        <v>239</v>
      </c>
      <c r="G155" s="34">
        <v>0.19</v>
      </c>
      <c r="H155" s="34">
        <v>0.21</v>
      </c>
    </row>
    <row r="156" spans="1:8" x14ac:dyDescent="0.25">
      <c r="A156" t="s">
        <v>549</v>
      </c>
      <c r="B156" t="s">
        <v>228</v>
      </c>
      <c r="C156">
        <v>110</v>
      </c>
      <c r="D156">
        <v>1244</v>
      </c>
      <c r="E156">
        <v>645</v>
      </c>
      <c r="F156">
        <v>599</v>
      </c>
      <c r="G156" s="34">
        <v>0.48</v>
      </c>
      <c r="H156" s="34">
        <v>0.21</v>
      </c>
    </row>
    <row r="157" spans="1:8" x14ac:dyDescent="0.25">
      <c r="A157" t="s">
        <v>550</v>
      </c>
      <c r="B157" t="s">
        <v>228</v>
      </c>
      <c r="C157">
        <v>110</v>
      </c>
      <c r="D157">
        <v>1212</v>
      </c>
      <c r="E157">
        <v>253</v>
      </c>
      <c r="F157">
        <v>959</v>
      </c>
      <c r="G157" s="34">
        <v>0.79</v>
      </c>
      <c r="H157" s="34">
        <v>0.2</v>
      </c>
    </row>
    <row r="158" spans="1:8" x14ac:dyDescent="0.25">
      <c r="A158" t="s">
        <v>551</v>
      </c>
      <c r="B158" t="s">
        <v>228</v>
      </c>
      <c r="C158">
        <v>110</v>
      </c>
      <c r="D158">
        <v>3180</v>
      </c>
      <c r="E158">
        <v>2581</v>
      </c>
      <c r="F158">
        <v>599</v>
      </c>
      <c r="G158" s="34">
        <v>0.19</v>
      </c>
      <c r="H158" s="34">
        <v>0.53</v>
      </c>
    </row>
    <row r="159" spans="1:8" x14ac:dyDescent="0.25">
      <c r="A159" t="s">
        <v>552</v>
      </c>
      <c r="B159" t="s">
        <v>228</v>
      </c>
      <c r="C159">
        <v>110</v>
      </c>
      <c r="D159">
        <v>3020</v>
      </c>
      <c r="E159">
        <v>1522</v>
      </c>
      <c r="F159">
        <v>1498</v>
      </c>
      <c r="G159" s="34">
        <v>0.5</v>
      </c>
      <c r="H159" s="34">
        <v>0.5</v>
      </c>
    </row>
    <row r="160" spans="1:8" x14ac:dyDescent="0.25">
      <c r="A160" t="s">
        <v>553</v>
      </c>
      <c r="B160" t="s">
        <v>228</v>
      </c>
      <c r="C160">
        <v>110</v>
      </c>
      <c r="D160">
        <v>3016</v>
      </c>
      <c r="E160">
        <v>618</v>
      </c>
      <c r="F160">
        <v>2398</v>
      </c>
      <c r="G160" s="34">
        <v>0.8</v>
      </c>
      <c r="H160" s="34">
        <v>0.5</v>
      </c>
    </row>
    <row r="161" spans="1:8" x14ac:dyDescent="0.25">
      <c r="A161" t="s">
        <v>554</v>
      </c>
      <c r="B161" t="s">
        <v>228</v>
      </c>
      <c r="C161">
        <v>110</v>
      </c>
      <c r="D161">
        <v>5110</v>
      </c>
      <c r="E161">
        <v>4151</v>
      </c>
      <c r="F161">
        <v>959</v>
      </c>
      <c r="G161" s="34">
        <v>0.19</v>
      </c>
      <c r="H161" s="34">
        <v>0.85</v>
      </c>
    </row>
    <row r="162" spans="1:8" x14ac:dyDescent="0.25">
      <c r="A162" t="s">
        <v>555</v>
      </c>
      <c r="B162" t="s">
        <v>228</v>
      </c>
      <c r="C162">
        <v>110</v>
      </c>
      <c r="D162">
        <v>4928</v>
      </c>
      <c r="E162">
        <v>2530</v>
      </c>
      <c r="F162">
        <v>2398</v>
      </c>
      <c r="G162" s="34">
        <v>0.49</v>
      </c>
      <c r="H162" s="34">
        <v>0.82</v>
      </c>
    </row>
    <row r="163" spans="1:8" x14ac:dyDescent="0.25">
      <c r="A163" t="s">
        <v>556</v>
      </c>
      <c r="B163" t="s">
        <v>228</v>
      </c>
      <c r="C163">
        <v>110</v>
      </c>
      <c r="D163">
        <v>4844</v>
      </c>
      <c r="E163">
        <v>1008</v>
      </c>
      <c r="F163">
        <v>3836</v>
      </c>
      <c r="G163" s="34">
        <v>0.79</v>
      </c>
      <c r="H163" s="34">
        <v>0.81</v>
      </c>
    </row>
    <row r="164" spans="1:8" x14ac:dyDescent="0.25">
      <c r="A164" t="s">
        <v>557</v>
      </c>
      <c r="B164" t="s">
        <v>228</v>
      </c>
      <c r="C164">
        <v>130</v>
      </c>
      <c r="D164">
        <v>1785</v>
      </c>
      <c r="E164">
        <v>1450</v>
      </c>
      <c r="F164">
        <v>335</v>
      </c>
      <c r="G164" s="34">
        <v>0.19</v>
      </c>
      <c r="H164" s="34">
        <v>0.21</v>
      </c>
    </row>
    <row r="165" spans="1:8" x14ac:dyDescent="0.25">
      <c r="A165" t="s">
        <v>558</v>
      </c>
      <c r="B165" t="s">
        <v>228</v>
      </c>
      <c r="C165">
        <v>130</v>
      </c>
      <c r="D165">
        <v>1731</v>
      </c>
      <c r="E165">
        <v>893</v>
      </c>
      <c r="F165">
        <v>838</v>
      </c>
      <c r="G165" s="34">
        <v>0.48</v>
      </c>
      <c r="H165" s="34">
        <v>0.21</v>
      </c>
    </row>
    <row r="166" spans="1:8" x14ac:dyDescent="0.25">
      <c r="A166" t="s">
        <v>559</v>
      </c>
      <c r="B166" t="s">
        <v>228</v>
      </c>
      <c r="C166">
        <v>130</v>
      </c>
      <c r="D166">
        <v>1727</v>
      </c>
      <c r="E166">
        <v>386</v>
      </c>
      <c r="F166">
        <v>1341</v>
      </c>
      <c r="G166" s="34">
        <v>0.78</v>
      </c>
      <c r="H166" s="34">
        <v>0.21</v>
      </c>
    </row>
    <row r="167" spans="1:8" x14ac:dyDescent="0.25">
      <c r="A167" t="s">
        <v>560</v>
      </c>
      <c r="B167" t="s">
        <v>228</v>
      </c>
      <c r="C167">
        <v>130</v>
      </c>
      <c r="D167">
        <v>4261</v>
      </c>
      <c r="E167">
        <v>3423</v>
      </c>
      <c r="F167">
        <v>838</v>
      </c>
      <c r="G167" s="34">
        <v>0.2</v>
      </c>
      <c r="H167" s="34">
        <v>0.51</v>
      </c>
    </row>
    <row r="168" spans="1:8" x14ac:dyDescent="0.25">
      <c r="A168" t="s">
        <v>561</v>
      </c>
      <c r="B168" t="s">
        <v>228</v>
      </c>
      <c r="C168">
        <v>130</v>
      </c>
      <c r="D168">
        <v>4354</v>
      </c>
      <c r="E168">
        <v>2258</v>
      </c>
      <c r="F168">
        <v>2096</v>
      </c>
      <c r="G168" s="34">
        <v>0.48</v>
      </c>
      <c r="H168" s="34">
        <v>0.52</v>
      </c>
    </row>
    <row r="169" spans="1:8" x14ac:dyDescent="0.25">
      <c r="A169" t="s">
        <v>562</v>
      </c>
      <c r="B169" t="s">
        <v>228</v>
      </c>
      <c r="C169">
        <v>130</v>
      </c>
      <c r="D169">
        <v>4240</v>
      </c>
      <c r="E169">
        <v>886</v>
      </c>
      <c r="F169">
        <v>3354</v>
      </c>
      <c r="G169" s="34">
        <v>0.79</v>
      </c>
      <c r="H169" s="34">
        <v>0.51</v>
      </c>
    </row>
    <row r="170" spans="1:8" x14ac:dyDescent="0.25">
      <c r="A170" t="s">
        <v>563</v>
      </c>
      <c r="B170" t="s">
        <v>228</v>
      </c>
      <c r="C170">
        <v>130</v>
      </c>
      <c r="D170">
        <v>6933</v>
      </c>
      <c r="E170">
        <v>5592</v>
      </c>
      <c r="F170">
        <v>1341</v>
      </c>
      <c r="G170" s="34">
        <v>0.19</v>
      </c>
      <c r="H170" s="34">
        <v>0.83</v>
      </c>
    </row>
    <row r="171" spans="1:8" x14ac:dyDescent="0.25">
      <c r="A171" t="s">
        <v>564</v>
      </c>
      <c r="B171" t="s">
        <v>228</v>
      </c>
      <c r="C171">
        <v>130</v>
      </c>
      <c r="D171">
        <v>6740</v>
      </c>
      <c r="E171">
        <v>3386</v>
      </c>
      <c r="F171">
        <v>3354</v>
      </c>
      <c r="G171" s="34">
        <v>0.5</v>
      </c>
      <c r="H171" s="34">
        <v>0.8</v>
      </c>
    </row>
    <row r="172" spans="1:8" x14ac:dyDescent="0.25">
      <c r="A172" t="s">
        <v>565</v>
      </c>
      <c r="B172" t="s">
        <v>228</v>
      </c>
      <c r="C172">
        <v>130</v>
      </c>
      <c r="D172">
        <v>6733</v>
      </c>
      <c r="E172">
        <v>1367</v>
      </c>
      <c r="F172">
        <v>5366</v>
      </c>
      <c r="G172" s="34">
        <v>0.8</v>
      </c>
      <c r="H172" s="34">
        <v>0.8</v>
      </c>
    </row>
    <row r="173" spans="1:8" x14ac:dyDescent="0.25">
      <c r="A173" t="s">
        <v>566</v>
      </c>
      <c r="B173" t="s">
        <v>228</v>
      </c>
      <c r="C173">
        <v>150</v>
      </c>
      <c r="D173">
        <v>2274</v>
      </c>
      <c r="E173">
        <v>1827</v>
      </c>
      <c r="F173">
        <v>447</v>
      </c>
      <c r="G173" s="34">
        <v>0.2</v>
      </c>
      <c r="H173" s="34">
        <v>0.2</v>
      </c>
    </row>
    <row r="174" spans="1:8" x14ac:dyDescent="0.25">
      <c r="A174" t="s">
        <v>567</v>
      </c>
      <c r="B174" t="s">
        <v>228</v>
      </c>
      <c r="C174">
        <v>150</v>
      </c>
      <c r="D174">
        <v>2359</v>
      </c>
      <c r="E174">
        <v>1242</v>
      </c>
      <c r="F174">
        <v>1117</v>
      </c>
      <c r="G174" s="34">
        <v>0.47</v>
      </c>
      <c r="H174" s="34">
        <v>0.21</v>
      </c>
    </row>
    <row r="175" spans="1:8" x14ac:dyDescent="0.25">
      <c r="A175" t="s">
        <v>568</v>
      </c>
      <c r="B175" t="s">
        <v>228</v>
      </c>
      <c r="C175">
        <v>150</v>
      </c>
      <c r="D175">
        <v>2237</v>
      </c>
      <c r="E175">
        <v>449</v>
      </c>
      <c r="F175">
        <v>1788</v>
      </c>
      <c r="G175" s="34">
        <v>0.8</v>
      </c>
      <c r="H175" s="34">
        <v>0.2</v>
      </c>
    </row>
    <row r="176" spans="1:8" x14ac:dyDescent="0.25">
      <c r="A176" t="s">
        <v>569</v>
      </c>
      <c r="B176" t="s">
        <v>228</v>
      </c>
      <c r="C176">
        <v>150</v>
      </c>
      <c r="D176">
        <v>5626</v>
      </c>
      <c r="E176">
        <v>4509</v>
      </c>
      <c r="F176">
        <v>1117</v>
      </c>
      <c r="G176" s="34">
        <v>0.2</v>
      </c>
      <c r="H176" s="34">
        <v>0.5</v>
      </c>
    </row>
    <row r="177" spans="1:8" x14ac:dyDescent="0.25">
      <c r="A177" t="s">
        <v>570</v>
      </c>
      <c r="B177" t="s">
        <v>228</v>
      </c>
      <c r="C177">
        <v>150</v>
      </c>
      <c r="D177">
        <v>5719</v>
      </c>
      <c r="E177">
        <v>2926</v>
      </c>
      <c r="F177">
        <v>2793</v>
      </c>
      <c r="G177" s="34">
        <v>0.49</v>
      </c>
      <c r="H177" s="34">
        <v>0.51</v>
      </c>
    </row>
    <row r="178" spans="1:8" x14ac:dyDescent="0.25">
      <c r="A178" t="s">
        <v>571</v>
      </c>
      <c r="B178" t="s">
        <v>228</v>
      </c>
      <c r="C178">
        <v>150</v>
      </c>
      <c r="D178">
        <v>5626</v>
      </c>
      <c r="E178">
        <v>1156</v>
      </c>
      <c r="F178">
        <v>4470</v>
      </c>
      <c r="G178" s="34">
        <v>0.79</v>
      </c>
      <c r="H178" s="34">
        <v>0.5</v>
      </c>
    </row>
    <row r="179" spans="1:8" x14ac:dyDescent="0.25">
      <c r="A179" t="s">
        <v>572</v>
      </c>
      <c r="B179" t="s">
        <v>228</v>
      </c>
      <c r="C179">
        <v>150</v>
      </c>
      <c r="D179">
        <v>9141</v>
      </c>
      <c r="E179">
        <v>7353</v>
      </c>
      <c r="F179">
        <v>1788</v>
      </c>
      <c r="G179" s="34">
        <v>0.2</v>
      </c>
      <c r="H179" s="34">
        <v>0.82</v>
      </c>
    </row>
    <row r="180" spans="1:8" x14ac:dyDescent="0.25">
      <c r="A180" t="s">
        <v>573</v>
      </c>
      <c r="B180" t="s">
        <v>228</v>
      </c>
      <c r="C180">
        <v>150</v>
      </c>
      <c r="D180">
        <v>8873</v>
      </c>
      <c r="E180">
        <v>4403</v>
      </c>
      <c r="F180">
        <v>4470</v>
      </c>
      <c r="G180" s="34">
        <v>0.5</v>
      </c>
      <c r="H180" s="34">
        <v>0.79</v>
      </c>
    </row>
    <row r="181" spans="1:8" x14ac:dyDescent="0.25">
      <c r="A181" t="s">
        <v>574</v>
      </c>
      <c r="B181" t="s">
        <v>228</v>
      </c>
      <c r="C181">
        <v>150</v>
      </c>
      <c r="D181">
        <v>9103</v>
      </c>
      <c r="E181">
        <v>1951</v>
      </c>
      <c r="F181">
        <v>7152</v>
      </c>
      <c r="G181" s="34">
        <v>0.79</v>
      </c>
      <c r="H181" s="34">
        <v>0.81</v>
      </c>
    </row>
    <row r="182" spans="1:8" x14ac:dyDescent="0.25">
      <c r="A182" t="s">
        <v>575</v>
      </c>
      <c r="B182" t="s">
        <v>228</v>
      </c>
      <c r="C182">
        <v>170</v>
      </c>
      <c r="D182">
        <v>2995</v>
      </c>
      <c r="E182">
        <v>2421</v>
      </c>
      <c r="F182">
        <v>574</v>
      </c>
      <c r="G182" s="34">
        <v>0.19</v>
      </c>
      <c r="H182" s="34">
        <v>0.21</v>
      </c>
    </row>
    <row r="183" spans="1:8" x14ac:dyDescent="0.25">
      <c r="A183" t="s">
        <v>576</v>
      </c>
      <c r="B183" t="s">
        <v>228</v>
      </c>
      <c r="C183">
        <v>170</v>
      </c>
      <c r="D183">
        <v>2889</v>
      </c>
      <c r="E183">
        <v>1453</v>
      </c>
      <c r="F183">
        <v>1436</v>
      </c>
      <c r="G183" s="34">
        <v>0.5</v>
      </c>
      <c r="H183" s="34">
        <v>0.2</v>
      </c>
    </row>
    <row r="184" spans="1:8" x14ac:dyDescent="0.25">
      <c r="A184" t="s">
        <v>577</v>
      </c>
      <c r="B184" t="s">
        <v>228</v>
      </c>
      <c r="C184">
        <v>170</v>
      </c>
      <c r="D184">
        <v>2923</v>
      </c>
      <c r="E184">
        <v>625</v>
      </c>
      <c r="F184">
        <v>2298</v>
      </c>
      <c r="G184" s="34">
        <v>0.79</v>
      </c>
      <c r="H184" s="34">
        <v>0.2</v>
      </c>
    </row>
    <row r="185" spans="1:8" x14ac:dyDescent="0.25">
      <c r="A185" t="s">
        <v>578</v>
      </c>
      <c r="B185" t="s">
        <v>228</v>
      </c>
      <c r="C185">
        <v>170</v>
      </c>
      <c r="D185">
        <v>7396</v>
      </c>
      <c r="E185">
        <v>5960</v>
      </c>
      <c r="F185">
        <v>1436</v>
      </c>
      <c r="G185" s="34">
        <v>0.19</v>
      </c>
      <c r="H185" s="34">
        <v>0.51</v>
      </c>
    </row>
    <row r="186" spans="1:8" x14ac:dyDescent="0.25">
      <c r="A186" t="s">
        <v>579</v>
      </c>
      <c r="B186" t="s">
        <v>228</v>
      </c>
      <c r="C186">
        <v>170</v>
      </c>
      <c r="D186">
        <v>7304</v>
      </c>
      <c r="E186">
        <v>3713</v>
      </c>
      <c r="F186">
        <v>3591</v>
      </c>
      <c r="G186" s="34">
        <v>0.49</v>
      </c>
      <c r="H186" s="34">
        <v>0.51</v>
      </c>
    </row>
    <row r="187" spans="1:8" x14ac:dyDescent="0.25">
      <c r="A187" t="s">
        <v>580</v>
      </c>
      <c r="B187" t="s">
        <v>228</v>
      </c>
      <c r="C187">
        <v>170</v>
      </c>
      <c r="D187">
        <v>7275</v>
      </c>
      <c r="E187">
        <v>1529</v>
      </c>
      <c r="F187">
        <v>5746</v>
      </c>
      <c r="G187" s="34">
        <v>0.79</v>
      </c>
      <c r="H187" s="34">
        <v>0.51</v>
      </c>
    </row>
    <row r="188" spans="1:8" x14ac:dyDescent="0.25">
      <c r="A188" t="s">
        <v>581</v>
      </c>
      <c r="B188" t="s">
        <v>228</v>
      </c>
      <c r="C188">
        <v>170</v>
      </c>
      <c r="D188">
        <v>11713</v>
      </c>
      <c r="E188">
        <v>9415</v>
      </c>
      <c r="F188">
        <v>2298</v>
      </c>
      <c r="G188" s="34">
        <v>0.2</v>
      </c>
      <c r="H188" s="34">
        <v>0.82</v>
      </c>
    </row>
    <row r="189" spans="1:8" x14ac:dyDescent="0.25">
      <c r="A189" t="s">
        <v>582</v>
      </c>
      <c r="B189" t="s">
        <v>228</v>
      </c>
      <c r="C189">
        <v>170</v>
      </c>
      <c r="D189">
        <v>12058</v>
      </c>
      <c r="E189">
        <v>6312</v>
      </c>
      <c r="F189">
        <v>5746</v>
      </c>
      <c r="G189" s="34">
        <v>0.48</v>
      </c>
      <c r="H189" s="34">
        <v>0.84</v>
      </c>
    </row>
    <row r="190" spans="1:8" x14ac:dyDescent="0.25">
      <c r="A190" t="s">
        <v>583</v>
      </c>
      <c r="B190" t="s">
        <v>228</v>
      </c>
      <c r="C190">
        <v>170</v>
      </c>
      <c r="D190">
        <v>11714</v>
      </c>
      <c r="E190">
        <v>2521</v>
      </c>
      <c r="F190">
        <v>9193</v>
      </c>
      <c r="G190" s="34">
        <v>0.78</v>
      </c>
      <c r="H190" s="34">
        <v>0.82</v>
      </c>
    </row>
    <row r="191" spans="1:8" x14ac:dyDescent="0.25">
      <c r="A191" t="s">
        <v>584</v>
      </c>
      <c r="B191" t="s">
        <v>228</v>
      </c>
      <c r="C191">
        <v>190</v>
      </c>
      <c r="D191">
        <v>3846</v>
      </c>
      <c r="E191">
        <v>3128</v>
      </c>
      <c r="F191">
        <v>718</v>
      </c>
      <c r="G191" s="34">
        <v>0.19</v>
      </c>
      <c r="H191" s="34">
        <v>0.21</v>
      </c>
    </row>
    <row r="192" spans="1:8" x14ac:dyDescent="0.25">
      <c r="A192" t="s">
        <v>585</v>
      </c>
      <c r="B192" t="s">
        <v>228</v>
      </c>
      <c r="C192">
        <v>190</v>
      </c>
      <c r="D192">
        <v>3601</v>
      </c>
      <c r="E192">
        <v>1806</v>
      </c>
      <c r="F192">
        <v>1795</v>
      </c>
      <c r="G192" s="34">
        <v>0.5</v>
      </c>
      <c r="H192" s="34">
        <v>0.2</v>
      </c>
    </row>
    <row r="193" spans="1:8" x14ac:dyDescent="0.25">
      <c r="A193" t="s">
        <v>586</v>
      </c>
      <c r="B193" t="s">
        <v>228</v>
      </c>
      <c r="C193">
        <v>190</v>
      </c>
      <c r="D193">
        <v>3617</v>
      </c>
      <c r="E193">
        <v>745</v>
      </c>
      <c r="F193">
        <v>2872</v>
      </c>
      <c r="G193" s="34">
        <v>0.79</v>
      </c>
      <c r="H193" s="34">
        <v>0.2</v>
      </c>
    </row>
    <row r="194" spans="1:8" x14ac:dyDescent="0.25">
      <c r="A194" t="s">
        <v>587</v>
      </c>
      <c r="B194" t="s">
        <v>228</v>
      </c>
      <c r="C194">
        <v>190</v>
      </c>
      <c r="D194">
        <v>9057</v>
      </c>
      <c r="E194">
        <v>7262</v>
      </c>
      <c r="F194">
        <v>1795</v>
      </c>
      <c r="G194" s="34">
        <v>0.2</v>
      </c>
      <c r="H194" s="34">
        <v>0.5</v>
      </c>
    </row>
    <row r="195" spans="1:8" x14ac:dyDescent="0.25">
      <c r="A195" t="s">
        <v>588</v>
      </c>
      <c r="B195" t="s">
        <v>228</v>
      </c>
      <c r="C195">
        <v>190</v>
      </c>
      <c r="D195">
        <v>9204</v>
      </c>
      <c r="E195">
        <v>4716</v>
      </c>
      <c r="F195">
        <v>4488</v>
      </c>
      <c r="G195" s="34">
        <v>0.49</v>
      </c>
      <c r="H195" s="34">
        <v>0.51</v>
      </c>
    </row>
    <row r="196" spans="1:8" x14ac:dyDescent="0.25">
      <c r="A196" t="s">
        <v>589</v>
      </c>
      <c r="B196" t="s">
        <v>228</v>
      </c>
      <c r="C196">
        <v>190</v>
      </c>
      <c r="D196">
        <v>9112</v>
      </c>
      <c r="E196">
        <v>1930</v>
      </c>
      <c r="F196">
        <v>7182</v>
      </c>
      <c r="G196" s="34">
        <v>0.79</v>
      </c>
      <c r="H196" s="34">
        <v>0.51</v>
      </c>
    </row>
    <row r="197" spans="1:8" x14ac:dyDescent="0.25">
      <c r="A197" t="s">
        <v>590</v>
      </c>
      <c r="B197" t="s">
        <v>228</v>
      </c>
      <c r="C197">
        <v>190</v>
      </c>
      <c r="D197">
        <v>14865</v>
      </c>
      <c r="E197">
        <v>11993</v>
      </c>
      <c r="F197">
        <v>2872</v>
      </c>
      <c r="G197" s="34">
        <v>0.19</v>
      </c>
      <c r="H197" s="34">
        <v>0.83</v>
      </c>
    </row>
    <row r="198" spans="1:8" x14ac:dyDescent="0.25">
      <c r="A198" t="s">
        <v>591</v>
      </c>
      <c r="B198" t="s">
        <v>228</v>
      </c>
      <c r="C198">
        <v>190</v>
      </c>
      <c r="D198">
        <v>14608</v>
      </c>
      <c r="E198">
        <v>7426</v>
      </c>
      <c r="F198">
        <v>7182</v>
      </c>
      <c r="G198" s="34">
        <v>0.49</v>
      </c>
      <c r="H198" s="34">
        <v>0.81</v>
      </c>
    </row>
    <row r="199" spans="1:8" x14ac:dyDescent="0.25">
      <c r="A199" t="s">
        <v>592</v>
      </c>
      <c r="B199" t="s">
        <v>228</v>
      </c>
      <c r="C199">
        <v>190</v>
      </c>
      <c r="D199">
        <v>14527</v>
      </c>
      <c r="E199">
        <v>3036</v>
      </c>
      <c r="F199">
        <v>11491</v>
      </c>
      <c r="G199" s="34">
        <v>0.79</v>
      </c>
      <c r="H199" s="34">
        <v>0.81</v>
      </c>
    </row>
    <row r="200" spans="1:8" x14ac:dyDescent="0.25">
      <c r="A200" t="s">
        <v>593</v>
      </c>
      <c r="B200" t="s">
        <v>228</v>
      </c>
      <c r="C200">
        <v>210</v>
      </c>
      <c r="D200">
        <v>4534</v>
      </c>
      <c r="E200">
        <v>3657</v>
      </c>
      <c r="F200">
        <v>877</v>
      </c>
      <c r="G200" s="34">
        <v>0.19</v>
      </c>
      <c r="H200" s="34">
        <v>0.21</v>
      </c>
    </row>
    <row r="201" spans="1:8" x14ac:dyDescent="0.25">
      <c r="A201" t="s">
        <v>594</v>
      </c>
      <c r="B201" t="s">
        <v>228</v>
      </c>
      <c r="C201">
        <v>210</v>
      </c>
      <c r="D201">
        <v>4492</v>
      </c>
      <c r="E201">
        <v>2298</v>
      </c>
      <c r="F201">
        <v>2194</v>
      </c>
      <c r="G201" s="34">
        <v>0.49</v>
      </c>
      <c r="H201" s="34">
        <v>0.2</v>
      </c>
    </row>
    <row r="202" spans="1:8" x14ac:dyDescent="0.25">
      <c r="A202" t="s">
        <v>595</v>
      </c>
      <c r="B202" t="s">
        <v>228</v>
      </c>
      <c r="C202">
        <v>210</v>
      </c>
      <c r="D202">
        <v>4415</v>
      </c>
      <c r="E202">
        <v>904</v>
      </c>
      <c r="F202">
        <v>3511</v>
      </c>
      <c r="G202" s="34">
        <v>0.8</v>
      </c>
      <c r="H202" s="34">
        <v>0.2</v>
      </c>
    </row>
    <row r="203" spans="1:8" x14ac:dyDescent="0.25">
      <c r="A203" t="s">
        <v>596</v>
      </c>
      <c r="B203" t="s">
        <v>228</v>
      </c>
      <c r="C203">
        <v>210</v>
      </c>
      <c r="D203">
        <v>11279</v>
      </c>
      <c r="E203">
        <v>9085</v>
      </c>
      <c r="F203">
        <v>2194</v>
      </c>
      <c r="G203" s="34">
        <v>0.19</v>
      </c>
      <c r="H203" s="34">
        <v>0.51</v>
      </c>
    </row>
    <row r="204" spans="1:8" x14ac:dyDescent="0.25">
      <c r="A204" t="s">
        <v>597</v>
      </c>
      <c r="B204" t="s">
        <v>228</v>
      </c>
      <c r="C204">
        <v>210</v>
      </c>
      <c r="D204">
        <v>11070</v>
      </c>
      <c r="E204">
        <v>5584</v>
      </c>
      <c r="F204">
        <v>5486</v>
      </c>
      <c r="G204" s="34">
        <v>0.5</v>
      </c>
      <c r="H204" s="34">
        <v>0.5</v>
      </c>
    </row>
    <row r="205" spans="1:8" x14ac:dyDescent="0.25">
      <c r="A205" t="s">
        <v>598</v>
      </c>
      <c r="B205" t="s">
        <v>228</v>
      </c>
      <c r="C205">
        <v>210</v>
      </c>
      <c r="D205">
        <v>10995</v>
      </c>
      <c r="E205">
        <v>2217</v>
      </c>
      <c r="F205">
        <v>8778</v>
      </c>
      <c r="G205" s="34">
        <v>0.8</v>
      </c>
      <c r="H205" s="34">
        <v>0.5</v>
      </c>
    </row>
    <row r="206" spans="1:8" x14ac:dyDescent="0.25">
      <c r="A206" t="s">
        <v>599</v>
      </c>
      <c r="B206" t="s">
        <v>228</v>
      </c>
      <c r="C206">
        <v>210</v>
      </c>
      <c r="D206">
        <v>18619</v>
      </c>
      <c r="E206">
        <v>15108</v>
      </c>
      <c r="F206">
        <v>3511</v>
      </c>
      <c r="G206" s="34">
        <v>0.19</v>
      </c>
      <c r="H206" s="34">
        <v>0.85</v>
      </c>
    </row>
    <row r="207" spans="1:8" x14ac:dyDescent="0.25">
      <c r="A207" t="s">
        <v>600</v>
      </c>
      <c r="B207" t="s">
        <v>228</v>
      </c>
      <c r="C207">
        <v>210</v>
      </c>
      <c r="D207">
        <v>17830</v>
      </c>
      <c r="E207">
        <v>9052</v>
      </c>
      <c r="F207">
        <v>8778</v>
      </c>
      <c r="G207" s="34">
        <v>0.49</v>
      </c>
      <c r="H207" s="34">
        <v>0.81</v>
      </c>
    </row>
    <row r="208" spans="1:8" x14ac:dyDescent="0.25">
      <c r="A208" t="s">
        <v>601</v>
      </c>
      <c r="B208" t="s">
        <v>228</v>
      </c>
      <c r="C208">
        <v>210</v>
      </c>
      <c r="D208">
        <v>17734</v>
      </c>
      <c r="E208">
        <v>3690</v>
      </c>
      <c r="F208">
        <v>14044</v>
      </c>
      <c r="G208" s="34">
        <v>0.79</v>
      </c>
      <c r="H208" s="34">
        <v>0.81</v>
      </c>
    </row>
    <row r="209" spans="1:8" x14ac:dyDescent="0.25">
      <c r="A209" t="s">
        <v>602</v>
      </c>
      <c r="B209" t="s">
        <v>228</v>
      </c>
      <c r="C209">
        <v>230</v>
      </c>
      <c r="D209">
        <v>5346</v>
      </c>
      <c r="E209">
        <v>4293</v>
      </c>
      <c r="F209">
        <v>1053</v>
      </c>
      <c r="G209" s="34">
        <v>0.2</v>
      </c>
      <c r="H209" s="34">
        <v>0.2</v>
      </c>
    </row>
    <row r="210" spans="1:8" x14ac:dyDescent="0.25">
      <c r="A210" t="s">
        <v>603</v>
      </c>
      <c r="B210" t="s">
        <v>228</v>
      </c>
      <c r="C210">
        <v>230</v>
      </c>
      <c r="D210">
        <v>5488</v>
      </c>
      <c r="E210">
        <v>2855</v>
      </c>
      <c r="F210">
        <v>2633</v>
      </c>
      <c r="G210" s="34">
        <v>0.48</v>
      </c>
      <c r="H210" s="34">
        <v>0.21</v>
      </c>
    </row>
    <row r="211" spans="1:8" x14ac:dyDescent="0.25">
      <c r="A211" t="s">
        <v>604</v>
      </c>
      <c r="B211" t="s">
        <v>228</v>
      </c>
      <c r="C211">
        <v>230</v>
      </c>
      <c r="D211">
        <v>5304</v>
      </c>
      <c r="E211">
        <v>1091</v>
      </c>
      <c r="F211">
        <v>4213</v>
      </c>
      <c r="G211" s="34">
        <v>0.79</v>
      </c>
      <c r="H211" s="34">
        <v>0.2</v>
      </c>
    </row>
    <row r="212" spans="1:8" x14ac:dyDescent="0.25">
      <c r="A212" t="s">
        <v>605</v>
      </c>
      <c r="B212" t="s">
        <v>228</v>
      </c>
      <c r="C212">
        <v>230</v>
      </c>
      <c r="D212">
        <v>13610</v>
      </c>
      <c r="E212">
        <v>10977</v>
      </c>
      <c r="F212">
        <v>2633</v>
      </c>
      <c r="G212" s="34">
        <v>0.19</v>
      </c>
      <c r="H212" s="34">
        <v>0.52</v>
      </c>
    </row>
    <row r="213" spans="1:8" x14ac:dyDescent="0.25">
      <c r="A213" t="s">
        <v>606</v>
      </c>
      <c r="B213" t="s">
        <v>228</v>
      </c>
      <c r="C213">
        <v>230</v>
      </c>
      <c r="D213">
        <v>13435</v>
      </c>
      <c r="E213">
        <v>6852</v>
      </c>
      <c r="F213">
        <v>6583</v>
      </c>
      <c r="G213" s="34">
        <v>0.49</v>
      </c>
      <c r="H213" s="34">
        <v>0.51</v>
      </c>
    </row>
    <row r="214" spans="1:8" x14ac:dyDescent="0.25">
      <c r="A214" t="s">
        <v>607</v>
      </c>
      <c r="B214" t="s">
        <v>228</v>
      </c>
      <c r="C214">
        <v>230</v>
      </c>
      <c r="D214">
        <v>13250</v>
      </c>
      <c r="E214">
        <v>2716</v>
      </c>
      <c r="F214">
        <v>10534</v>
      </c>
      <c r="G214" s="34">
        <v>0.8</v>
      </c>
      <c r="H214" s="34">
        <v>0.5</v>
      </c>
    </row>
    <row r="215" spans="1:8" x14ac:dyDescent="0.25">
      <c r="A215" t="s">
        <v>608</v>
      </c>
      <c r="B215" t="s">
        <v>228</v>
      </c>
      <c r="C215">
        <v>230</v>
      </c>
      <c r="D215">
        <v>22043</v>
      </c>
      <c r="E215">
        <v>17830</v>
      </c>
      <c r="F215">
        <v>4213</v>
      </c>
      <c r="G215" s="34">
        <v>0.19</v>
      </c>
      <c r="H215" s="34">
        <v>0.84</v>
      </c>
    </row>
    <row r="216" spans="1:8" x14ac:dyDescent="0.25">
      <c r="A216" t="s">
        <v>609</v>
      </c>
      <c r="B216" t="s">
        <v>228</v>
      </c>
      <c r="C216">
        <v>230</v>
      </c>
      <c r="D216">
        <v>21418</v>
      </c>
      <c r="E216">
        <v>10884</v>
      </c>
      <c r="F216">
        <v>10534</v>
      </c>
      <c r="G216" s="34">
        <v>0.49</v>
      </c>
      <c r="H216" s="34">
        <v>0.81</v>
      </c>
    </row>
    <row r="217" spans="1:8" x14ac:dyDescent="0.25">
      <c r="A217" t="s">
        <v>610</v>
      </c>
      <c r="B217" t="s">
        <v>228</v>
      </c>
      <c r="C217">
        <v>230</v>
      </c>
      <c r="D217">
        <v>21241</v>
      </c>
      <c r="E217">
        <v>4387</v>
      </c>
      <c r="F217">
        <v>16854</v>
      </c>
      <c r="G217" s="34">
        <v>0.79</v>
      </c>
      <c r="H217" s="34">
        <v>0.81</v>
      </c>
    </row>
    <row r="218" spans="1:8" x14ac:dyDescent="0.25">
      <c r="A218" t="s">
        <v>611</v>
      </c>
      <c r="B218" t="s">
        <v>228</v>
      </c>
      <c r="C218">
        <v>250</v>
      </c>
      <c r="D218">
        <v>6488</v>
      </c>
      <c r="E218">
        <v>5243</v>
      </c>
      <c r="F218">
        <v>1245</v>
      </c>
      <c r="G218" s="34">
        <v>0.19</v>
      </c>
      <c r="H218" s="34">
        <v>0.21</v>
      </c>
    </row>
    <row r="219" spans="1:8" x14ac:dyDescent="0.25">
      <c r="A219" t="s">
        <v>612</v>
      </c>
      <c r="B219" t="s">
        <v>228</v>
      </c>
      <c r="C219">
        <v>250</v>
      </c>
      <c r="D219">
        <v>6389</v>
      </c>
      <c r="E219">
        <v>3277</v>
      </c>
      <c r="F219">
        <v>3112</v>
      </c>
      <c r="G219" s="34">
        <v>0.49</v>
      </c>
      <c r="H219" s="34">
        <v>0.21</v>
      </c>
    </row>
    <row r="220" spans="1:8" x14ac:dyDescent="0.25">
      <c r="A220" t="s">
        <v>613</v>
      </c>
      <c r="B220" t="s">
        <v>228</v>
      </c>
      <c r="C220">
        <v>250</v>
      </c>
      <c r="D220">
        <v>6228</v>
      </c>
      <c r="E220">
        <v>1248</v>
      </c>
      <c r="F220">
        <v>4980</v>
      </c>
      <c r="G220" s="34">
        <v>0.8</v>
      </c>
      <c r="H220" s="34">
        <v>0.2</v>
      </c>
    </row>
    <row r="221" spans="1:8" x14ac:dyDescent="0.25">
      <c r="A221" t="s">
        <v>614</v>
      </c>
      <c r="B221" t="s">
        <v>228</v>
      </c>
      <c r="C221">
        <v>250</v>
      </c>
      <c r="D221">
        <v>15967</v>
      </c>
      <c r="E221">
        <v>12855</v>
      </c>
      <c r="F221">
        <v>3112</v>
      </c>
      <c r="G221" s="34">
        <v>0.19</v>
      </c>
      <c r="H221" s="34">
        <v>0.51</v>
      </c>
    </row>
    <row r="222" spans="1:8" x14ac:dyDescent="0.25">
      <c r="A222" t="s">
        <v>615</v>
      </c>
      <c r="B222" t="s">
        <v>228</v>
      </c>
      <c r="C222">
        <v>250</v>
      </c>
      <c r="D222">
        <v>15815</v>
      </c>
      <c r="E222">
        <v>8034</v>
      </c>
      <c r="F222">
        <v>7781</v>
      </c>
      <c r="G222" s="34">
        <v>0.49</v>
      </c>
      <c r="H222" s="34">
        <v>0.51</v>
      </c>
    </row>
    <row r="223" spans="1:8" x14ac:dyDescent="0.25">
      <c r="A223" t="s">
        <v>616</v>
      </c>
      <c r="B223" t="s">
        <v>228</v>
      </c>
      <c r="C223">
        <v>250</v>
      </c>
      <c r="D223">
        <v>15729</v>
      </c>
      <c r="E223">
        <v>3279</v>
      </c>
      <c r="F223">
        <v>12450</v>
      </c>
      <c r="G223" s="34">
        <v>0.79</v>
      </c>
      <c r="H223" s="34">
        <v>0.51</v>
      </c>
    </row>
    <row r="224" spans="1:8" x14ac:dyDescent="0.25">
      <c r="A224" t="s">
        <v>617</v>
      </c>
      <c r="B224" t="s">
        <v>228</v>
      </c>
      <c r="C224">
        <v>250</v>
      </c>
      <c r="D224">
        <v>26281</v>
      </c>
      <c r="E224">
        <v>21301</v>
      </c>
      <c r="F224">
        <v>4980</v>
      </c>
      <c r="G224" s="34">
        <v>0.19</v>
      </c>
      <c r="H224" s="34">
        <v>0.84</v>
      </c>
    </row>
    <row r="225" spans="1:8" x14ac:dyDescent="0.25">
      <c r="A225" t="s">
        <v>618</v>
      </c>
      <c r="B225" t="s">
        <v>228</v>
      </c>
      <c r="C225">
        <v>250</v>
      </c>
      <c r="D225">
        <v>25484</v>
      </c>
      <c r="E225">
        <v>13034</v>
      </c>
      <c r="F225">
        <v>12450</v>
      </c>
      <c r="G225" s="34">
        <v>0.49</v>
      </c>
      <c r="H225" s="34">
        <v>0.82</v>
      </c>
    </row>
    <row r="226" spans="1:8" x14ac:dyDescent="0.25">
      <c r="A226" t="s">
        <v>619</v>
      </c>
      <c r="B226" t="s">
        <v>228</v>
      </c>
      <c r="C226">
        <v>250</v>
      </c>
      <c r="D226">
        <v>25193</v>
      </c>
      <c r="E226">
        <v>5273</v>
      </c>
      <c r="F226">
        <v>19920</v>
      </c>
      <c r="G226" s="34">
        <v>0.79</v>
      </c>
      <c r="H226" s="34">
        <v>0.81</v>
      </c>
    </row>
    <row r="227" spans="1:8" x14ac:dyDescent="0.25">
      <c r="A227" t="s">
        <v>620</v>
      </c>
      <c r="B227" t="s">
        <v>346</v>
      </c>
      <c r="C227">
        <v>10</v>
      </c>
      <c r="D227">
        <v>9</v>
      </c>
      <c r="E227">
        <v>8</v>
      </c>
      <c r="F227">
        <v>1</v>
      </c>
      <c r="G227" s="34">
        <v>0.11</v>
      </c>
      <c r="H227" s="34">
        <v>0.2</v>
      </c>
    </row>
    <row r="228" spans="1:8" x14ac:dyDescent="0.25">
      <c r="A228" t="s">
        <v>621</v>
      </c>
      <c r="B228" t="s">
        <v>346</v>
      </c>
      <c r="C228">
        <v>10</v>
      </c>
      <c r="D228">
        <v>9</v>
      </c>
      <c r="E228">
        <v>3</v>
      </c>
      <c r="F228">
        <v>6</v>
      </c>
      <c r="G228" s="34">
        <v>0.67</v>
      </c>
      <c r="H228" s="34">
        <v>0.2</v>
      </c>
    </row>
    <row r="229" spans="1:8" x14ac:dyDescent="0.25">
      <c r="A229" t="s">
        <v>622</v>
      </c>
      <c r="B229" t="s">
        <v>346</v>
      </c>
      <c r="C229">
        <v>10</v>
      </c>
      <c r="D229">
        <v>9</v>
      </c>
      <c r="E229">
        <v>1</v>
      </c>
      <c r="F229">
        <v>8</v>
      </c>
      <c r="G229" s="34">
        <v>0.89</v>
      </c>
      <c r="H229" s="34">
        <v>0.2</v>
      </c>
    </row>
    <row r="230" spans="1:8" x14ac:dyDescent="0.25">
      <c r="A230" t="s">
        <v>624</v>
      </c>
      <c r="B230" t="s">
        <v>346</v>
      </c>
      <c r="C230">
        <v>10</v>
      </c>
      <c r="D230">
        <v>22</v>
      </c>
      <c r="E230">
        <v>15</v>
      </c>
      <c r="F230">
        <v>7</v>
      </c>
      <c r="G230" s="34">
        <v>0.32</v>
      </c>
      <c r="H230" s="34">
        <v>0.49</v>
      </c>
    </row>
    <row r="231" spans="1:8" x14ac:dyDescent="0.25">
      <c r="A231" t="s">
        <v>626</v>
      </c>
      <c r="B231" t="s">
        <v>346</v>
      </c>
      <c r="C231">
        <v>10</v>
      </c>
      <c r="D231">
        <v>22</v>
      </c>
      <c r="E231">
        <v>9</v>
      </c>
      <c r="F231">
        <v>13</v>
      </c>
      <c r="G231" s="34">
        <v>0.59</v>
      </c>
      <c r="H231" s="34">
        <v>0.49</v>
      </c>
    </row>
    <row r="232" spans="1:8" x14ac:dyDescent="0.25">
      <c r="A232" t="s">
        <v>627</v>
      </c>
      <c r="B232" t="s">
        <v>346</v>
      </c>
      <c r="C232">
        <v>10</v>
      </c>
      <c r="D232">
        <v>22</v>
      </c>
      <c r="E232">
        <v>3</v>
      </c>
      <c r="F232">
        <v>19</v>
      </c>
      <c r="G232" s="34">
        <v>0.86</v>
      </c>
      <c r="H232" s="34">
        <v>0.49</v>
      </c>
    </row>
    <row r="233" spans="1:8" x14ac:dyDescent="0.25">
      <c r="A233" t="s">
        <v>628</v>
      </c>
      <c r="B233" t="s">
        <v>346</v>
      </c>
      <c r="C233">
        <v>10</v>
      </c>
      <c r="D233">
        <v>36</v>
      </c>
      <c r="E233">
        <v>31</v>
      </c>
      <c r="F233">
        <v>5</v>
      </c>
      <c r="G233" s="34">
        <v>0.14000000000000001</v>
      </c>
      <c r="H233" s="34">
        <v>0.8</v>
      </c>
    </row>
    <row r="234" spans="1:8" x14ac:dyDescent="0.25">
      <c r="A234" t="s">
        <v>629</v>
      </c>
      <c r="B234" t="s">
        <v>346</v>
      </c>
      <c r="C234">
        <v>10</v>
      </c>
      <c r="D234">
        <v>36</v>
      </c>
      <c r="E234">
        <v>27</v>
      </c>
      <c r="F234">
        <v>9</v>
      </c>
      <c r="G234" s="34">
        <v>0.25</v>
      </c>
      <c r="H234" s="34">
        <v>0.8</v>
      </c>
    </row>
    <row r="235" spans="1:8" x14ac:dyDescent="0.25">
      <c r="A235" t="s">
        <v>630</v>
      </c>
      <c r="B235" t="s">
        <v>346</v>
      </c>
      <c r="C235">
        <v>10</v>
      </c>
      <c r="D235">
        <v>36</v>
      </c>
      <c r="E235">
        <v>5</v>
      </c>
      <c r="F235">
        <v>31</v>
      </c>
      <c r="G235" s="34">
        <v>0.86</v>
      </c>
      <c r="H235" s="34">
        <v>0.8</v>
      </c>
    </row>
    <row r="236" spans="1:8" x14ac:dyDescent="0.25">
      <c r="A236" t="s">
        <v>631</v>
      </c>
      <c r="B236" t="s">
        <v>346</v>
      </c>
      <c r="C236">
        <v>30</v>
      </c>
      <c r="D236">
        <v>87</v>
      </c>
      <c r="E236">
        <v>68</v>
      </c>
      <c r="F236">
        <v>19</v>
      </c>
      <c r="G236" s="34">
        <v>0.22</v>
      </c>
      <c r="H236" s="34">
        <v>0.2</v>
      </c>
    </row>
    <row r="237" spans="1:8" x14ac:dyDescent="0.25">
      <c r="A237" t="s">
        <v>632</v>
      </c>
      <c r="B237" t="s">
        <v>346</v>
      </c>
      <c r="C237">
        <v>30</v>
      </c>
      <c r="D237">
        <v>87</v>
      </c>
      <c r="E237">
        <v>36</v>
      </c>
      <c r="F237">
        <v>51</v>
      </c>
      <c r="G237" s="34">
        <v>0.59</v>
      </c>
      <c r="H237" s="34">
        <v>0.2</v>
      </c>
    </row>
    <row r="238" spans="1:8" x14ac:dyDescent="0.25">
      <c r="A238" t="s">
        <v>633</v>
      </c>
      <c r="B238" t="s">
        <v>346</v>
      </c>
      <c r="C238">
        <v>30</v>
      </c>
      <c r="D238">
        <v>87</v>
      </c>
      <c r="E238">
        <v>21</v>
      </c>
      <c r="F238">
        <v>66</v>
      </c>
      <c r="G238" s="34">
        <v>0.76</v>
      </c>
      <c r="H238" s="34">
        <v>0.2</v>
      </c>
    </row>
    <row r="239" spans="1:8" x14ac:dyDescent="0.25">
      <c r="A239" t="s">
        <v>634</v>
      </c>
      <c r="B239" t="s">
        <v>346</v>
      </c>
      <c r="C239">
        <v>30</v>
      </c>
      <c r="D239">
        <v>217</v>
      </c>
      <c r="E239">
        <v>167</v>
      </c>
      <c r="F239">
        <v>50</v>
      </c>
      <c r="G239" s="34">
        <v>0.23</v>
      </c>
      <c r="H239" s="34">
        <v>0.5</v>
      </c>
    </row>
    <row r="240" spans="1:8" x14ac:dyDescent="0.25">
      <c r="A240" t="s">
        <v>635</v>
      </c>
      <c r="B240" t="s">
        <v>346</v>
      </c>
      <c r="C240">
        <v>30</v>
      </c>
      <c r="D240">
        <v>217</v>
      </c>
      <c r="E240">
        <v>103</v>
      </c>
      <c r="F240">
        <v>114</v>
      </c>
      <c r="G240" s="34">
        <v>0.53</v>
      </c>
      <c r="H240" s="34">
        <v>0.5</v>
      </c>
    </row>
    <row r="241" spans="1:8" x14ac:dyDescent="0.25">
      <c r="A241" t="s">
        <v>636</v>
      </c>
      <c r="B241" t="s">
        <v>346</v>
      </c>
      <c r="C241">
        <v>30</v>
      </c>
      <c r="D241">
        <v>217</v>
      </c>
      <c r="E241">
        <v>57</v>
      </c>
      <c r="F241">
        <v>160</v>
      </c>
      <c r="G241" s="34">
        <v>0.74</v>
      </c>
      <c r="H241" s="34">
        <v>0.5</v>
      </c>
    </row>
    <row r="242" spans="1:8" x14ac:dyDescent="0.25">
      <c r="A242" t="s">
        <v>637</v>
      </c>
      <c r="B242" t="s">
        <v>346</v>
      </c>
      <c r="C242">
        <v>30</v>
      </c>
      <c r="D242">
        <v>348</v>
      </c>
      <c r="E242">
        <v>268</v>
      </c>
      <c r="F242">
        <v>80</v>
      </c>
      <c r="G242" s="34">
        <v>0.23</v>
      </c>
      <c r="H242" s="34">
        <v>0.8</v>
      </c>
    </row>
    <row r="243" spans="1:8" x14ac:dyDescent="0.25">
      <c r="A243" t="s">
        <v>638</v>
      </c>
      <c r="B243" t="s">
        <v>346</v>
      </c>
      <c r="C243">
        <v>30</v>
      </c>
      <c r="D243">
        <v>348</v>
      </c>
      <c r="E243">
        <v>191</v>
      </c>
      <c r="F243">
        <v>157</v>
      </c>
      <c r="G243" s="34">
        <v>0.45</v>
      </c>
      <c r="H243" s="34">
        <v>0.8</v>
      </c>
    </row>
    <row r="244" spans="1:8" x14ac:dyDescent="0.25">
      <c r="A244" t="s">
        <v>639</v>
      </c>
      <c r="B244" t="s">
        <v>346</v>
      </c>
      <c r="C244">
        <v>30</v>
      </c>
      <c r="D244">
        <v>348</v>
      </c>
      <c r="E244">
        <v>72</v>
      </c>
      <c r="F244">
        <v>276</v>
      </c>
      <c r="G244" s="34">
        <v>0.79</v>
      </c>
      <c r="H244" s="34">
        <v>0.8</v>
      </c>
    </row>
    <row r="245" spans="1:8" x14ac:dyDescent="0.25">
      <c r="A245" t="s">
        <v>640</v>
      </c>
      <c r="B245" t="s">
        <v>346</v>
      </c>
      <c r="C245">
        <v>50</v>
      </c>
      <c r="D245">
        <v>245</v>
      </c>
      <c r="E245">
        <v>189</v>
      </c>
      <c r="F245">
        <v>56</v>
      </c>
      <c r="G245" s="34">
        <v>0.23</v>
      </c>
      <c r="H245" s="34">
        <v>0.2</v>
      </c>
    </row>
    <row r="246" spans="1:8" x14ac:dyDescent="0.25">
      <c r="A246" t="s">
        <v>641</v>
      </c>
      <c r="B246" t="s">
        <v>346</v>
      </c>
      <c r="C246">
        <v>50</v>
      </c>
      <c r="D246">
        <v>245</v>
      </c>
      <c r="E246">
        <v>125</v>
      </c>
      <c r="F246">
        <v>120</v>
      </c>
      <c r="G246" s="34">
        <v>0.49</v>
      </c>
      <c r="H246" s="34">
        <v>0.2</v>
      </c>
    </row>
    <row r="247" spans="1:8" x14ac:dyDescent="0.25">
      <c r="A247" t="s">
        <v>642</v>
      </c>
      <c r="B247" t="s">
        <v>346</v>
      </c>
      <c r="C247">
        <v>50</v>
      </c>
      <c r="D247">
        <v>245</v>
      </c>
      <c r="E247">
        <v>58</v>
      </c>
      <c r="F247">
        <v>187</v>
      </c>
      <c r="G247" s="34">
        <v>0.76</v>
      </c>
      <c r="H247" s="34">
        <v>0.2</v>
      </c>
    </row>
    <row r="248" spans="1:8" x14ac:dyDescent="0.25">
      <c r="A248" t="s">
        <v>643</v>
      </c>
      <c r="B248" t="s">
        <v>346</v>
      </c>
      <c r="C248">
        <v>50</v>
      </c>
      <c r="D248">
        <v>612</v>
      </c>
      <c r="E248">
        <v>488</v>
      </c>
      <c r="F248">
        <v>124</v>
      </c>
      <c r="G248" s="34">
        <v>0.2</v>
      </c>
      <c r="H248" s="34">
        <v>0.5</v>
      </c>
    </row>
    <row r="249" spans="1:8" x14ac:dyDescent="0.25">
      <c r="A249" t="s">
        <v>644</v>
      </c>
      <c r="B249" t="s">
        <v>346</v>
      </c>
      <c r="C249">
        <v>50</v>
      </c>
      <c r="D249">
        <v>612</v>
      </c>
      <c r="E249">
        <v>297</v>
      </c>
      <c r="F249">
        <v>315</v>
      </c>
      <c r="G249" s="34">
        <v>0.51</v>
      </c>
      <c r="H249" s="34">
        <v>0.5</v>
      </c>
    </row>
    <row r="250" spans="1:8" x14ac:dyDescent="0.25">
      <c r="A250" t="s">
        <v>645</v>
      </c>
      <c r="B250" t="s">
        <v>346</v>
      </c>
      <c r="C250">
        <v>50</v>
      </c>
      <c r="D250">
        <v>612</v>
      </c>
      <c r="E250">
        <v>118</v>
      </c>
      <c r="F250">
        <v>494</v>
      </c>
      <c r="G250" s="34">
        <v>0.81</v>
      </c>
      <c r="H250" s="34">
        <v>0.5</v>
      </c>
    </row>
    <row r="251" spans="1:8" x14ac:dyDescent="0.25">
      <c r="A251" t="s">
        <v>646</v>
      </c>
      <c r="B251" t="s">
        <v>346</v>
      </c>
      <c r="C251">
        <v>50</v>
      </c>
      <c r="D251">
        <v>980</v>
      </c>
      <c r="E251">
        <v>755</v>
      </c>
      <c r="F251">
        <v>225</v>
      </c>
      <c r="G251" s="34">
        <v>0.23</v>
      </c>
      <c r="H251" s="34">
        <v>0.8</v>
      </c>
    </row>
    <row r="252" spans="1:8" x14ac:dyDescent="0.25">
      <c r="A252" t="s">
        <v>647</v>
      </c>
      <c r="B252" t="s">
        <v>346</v>
      </c>
      <c r="C252">
        <v>50</v>
      </c>
      <c r="D252">
        <v>980</v>
      </c>
      <c r="E252">
        <v>493</v>
      </c>
      <c r="F252">
        <v>487</v>
      </c>
      <c r="G252" s="34">
        <v>0.5</v>
      </c>
      <c r="H252" s="34">
        <v>0.8</v>
      </c>
    </row>
    <row r="253" spans="1:8" x14ac:dyDescent="0.25">
      <c r="A253" t="s">
        <v>648</v>
      </c>
      <c r="B253" t="s">
        <v>346</v>
      </c>
      <c r="C253">
        <v>50</v>
      </c>
      <c r="D253">
        <v>980</v>
      </c>
      <c r="E253">
        <v>203</v>
      </c>
      <c r="F253">
        <v>777</v>
      </c>
      <c r="G253" s="34">
        <v>0.79</v>
      </c>
      <c r="H253" s="34">
        <v>0.8</v>
      </c>
    </row>
    <row r="254" spans="1:8" x14ac:dyDescent="0.25">
      <c r="A254" t="s">
        <v>649</v>
      </c>
      <c r="B254" t="s">
        <v>346</v>
      </c>
      <c r="C254">
        <v>70</v>
      </c>
      <c r="D254">
        <v>483</v>
      </c>
      <c r="E254">
        <v>388</v>
      </c>
      <c r="F254">
        <v>95</v>
      </c>
      <c r="G254" s="34">
        <v>0.2</v>
      </c>
      <c r="H254" s="34">
        <v>0.2</v>
      </c>
    </row>
    <row r="255" spans="1:8" x14ac:dyDescent="0.25">
      <c r="A255" t="s">
        <v>650</v>
      </c>
      <c r="B255" t="s">
        <v>346</v>
      </c>
      <c r="C255">
        <v>70</v>
      </c>
      <c r="D255">
        <v>483</v>
      </c>
      <c r="E255">
        <v>246</v>
      </c>
      <c r="F255">
        <v>237</v>
      </c>
      <c r="G255" s="34">
        <v>0.49</v>
      </c>
      <c r="H255" s="34">
        <v>0.2</v>
      </c>
    </row>
    <row r="256" spans="1:8" x14ac:dyDescent="0.25">
      <c r="A256" t="s">
        <v>651</v>
      </c>
      <c r="B256" t="s">
        <v>346</v>
      </c>
      <c r="C256">
        <v>70</v>
      </c>
      <c r="D256">
        <v>483</v>
      </c>
      <c r="E256">
        <v>103</v>
      </c>
      <c r="F256">
        <v>380</v>
      </c>
      <c r="G256" s="34">
        <v>0.79</v>
      </c>
      <c r="H256" s="34">
        <v>0.2</v>
      </c>
    </row>
    <row r="257" spans="1:8" x14ac:dyDescent="0.25">
      <c r="A257" t="s">
        <v>652</v>
      </c>
      <c r="B257" t="s">
        <v>346</v>
      </c>
      <c r="C257">
        <v>70</v>
      </c>
      <c r="D257">
        <v>1207</v>
      </c>
      <c r="E257">
        <v>962</v>
      </c>
      <c r="F257">
        <v>245</v>
      </c>
      <c r="G257" s="34">
        <v>0.2</v>
      </c>
      <c r="H257" s="34">
        <v>0.5</v>
      </c>
    </row>
    <row r="258" spans="1:8" x14ac:dyDescent="0.25">
      <c r="A258" t="s">
        <v>653</v>
      </c>
      <c r="B258" t="s">
        <v>346</v>
      </c>
      <c r="C258">
        <v>70</v>
      </c>
      <c r="D258">
        <v>1207</v>
      </c>
      <c r="E258">
        <v>608</v>
      </c>
      <c r="F258">
        <v>599</v>
      </c>
      <c r="G258" s="34">
        <v>0.5</v>
      </c>
      <c r="H258" s="34">
        <v>0.5</v>
      </c>
    </row>
    <row r="259" spans="1:8" x14ac:dyDescent="0.25">
      <c r="A259" t="s">
        <v>654</v>
      </c>
      <c r="B259" t="s">
        <v>346</v>
      </c>
      <c r="C259">
        <v>70</v>
      </c>
      <c r="D259">
        <v>1207</v>
      </c>
      <c r="E259">
        <v>257</v>
      </c>
      <c r="F259">
        <v>950</v>
      </c>
      <c r="G259" s="34">
        <v>0.79</v>
      </c>
      <c r="H259" s="34">
        <v>0.5</v>
      </c>
    </row>
    <row r="260" spans="1:8" x14ac:dyDescent="0.25">
      <c r="A260" t="s">
        <v>655</v>
      </c>
      <c r="B260" t="s">
        <v>346</v>
      </c>
      <c r="C260">
        <v>70</v>
      </c>
      <c r="D260">
        <v>1932</v>
      </c>
      <c r="E260">
        <v>1550</v>
      </c>
      <c r="F260">
        <v>382</v>
      </c>
      <c r="G260" s="34">
        <v>0.2</v>
      </c>
      <c r="H260" s="34">
        <v>0.8</v>
      </c>
    </row>
    <row r="261" spans="1:8" x14ac:dyDescent="0.25">
      <c r="A261" t="s">
        <v>656</v>
      </c>
      <c r="B261" t="s">
        <v>346</v>
      </c>
      <c r="C261">
        <v>70</v>
      </c>
      <c r="D261">
        <v>1932</v>
      </c>
      <c r="E261">
        <v>990</v>
      </c>
      <c r="F261">
        <v>942</v>
      </c>
      <c r="G261" s="34">
        <v>0.49</v>
      </c>
      <c r="H261" s="34">
        <v>0.8</v>
      </c>
    </row>
    <row r="262" spans="1:8" x14ac:dyDescent="0.25">
      <c r="A262" t="s">
        <v>657</v>
      </c>
      <c r="B262" t="s">
        <v>346</v>
      </c>
      <c r="C262">
        <v>70</v>
      </c>
      <c r="D262">
        <v>1932</v>
      </c>
      <c r="E262">
        <v>381</v>
      </c>
      <c r="F262">
        <v>1551</v>
      </c>
      <c r="G262" s="34">
        <v>0.8</v>
      </c>
      <c r="H262" s="34">
        <v>0.8</v>
      </c>
    </row>
    <row r="263" spans="1:8" x14ac:dyDescent="0.25">
      <c r="A263" t="s">
        <v>658</v>
      </c>
      <c r="B263" t="s">
        <v>346</v>
      </c>
      <c r="C263">
        <v>90</v>
      </c>
      <c r="D263">
        <v>801</v>
      </c>
      <c r="E263">
        <v>640</v>
      </c>
      <c r="F263">
        <v>161</v>
      </c>
      <c r="G263" s="34">
        <v>0.2</v>
      </c>
      <c r="H263" s="34">
        <v>0.2</v>
      </c>
    </row>
    <row r="264" spans="1:8" x14ac:dyDescent="0.25">
      <c r="A264" t="s">
        <v>659</v>
      </c>
      <c r="B264" t="s">
        <v>346</v>
      </c>
      <c r="C264">
        <v>90</v>
      </c>
      <c r="D264">
        <v>801</v>
      </c>
      <c r="E264">
        <v>396</v>
      </c>
      <c r="F264">
        <v>405</v>
      </c>
      <c r="G264" s="34">
        <v>0.51</v>
      </c>
      <c r="H264" s="34">
        <v>0.2</v>
      </c>
    </row>
    <row r="265" spans="1:8" x14ac:dyDescent="0.25">
      <c r="A265" t="s">
        <v>660</v>
      </c>
      <c r="B265" t="s">
        <v>346</v>
      </c>
      <c r="C265">
        <v>90</v>
      </c>
      <c r="D265">
        <v>801</v>
      </c>
      <c r="E265">
        <v>146</v>
      </c>
      <c r="F265">
        <v>655</v>
      </c>
      <c r="G265" s="34">
        <v>0.82</v>
      </c>
      <c r="H265" s="34">
        <v>0.2</v>
      </c>
    </row>
    <row r="266" spans="1:8" x14ac:dyDescent="0.25">
      <c r="A266" t="s">
        <v>661</v>
      </c>
      <c r="B266" t="s">
        <v>346</v>
      </c>
      <c r="C266">
        <v>90</v>
      </c>
      <c r="D266">
        <v>2002</v>
      </c>
      <c r="E266">
        <v>1610</v>
      </c>
      <c r="F266">
        <v>392</v>
      </c>
      <c r="G266" s="34">
        <v>0.2</v>
      </c>
      <c r="H266" s="34">
        <v>0.5</v>
      </c>
    </row>
    <row r="267" spans="1:8" x14ac:dyDescent="0.25">
      <c r="A267" t="s">
        <v>662</v>
      </c>
      <c r="B267" t="s">
        <v>346</v>
      </c>
      <c r="C267">
        <v>90</v>
      </c>
      <c r="D267">
        <v>2002</v>
      </c>
      <c r="E267">
        <v>1029</v>
      </c>
      <c r="F267">
        <v>973</v>
      </c>
      <c r="G267" s="34">
        <v>0.49</v>
      </c>
      <c r="H267" s="34">
        <v>0.5</v>
      </c>
    </row>
    <row r="268" spans="1:8" x14ac:dyDescent="0.25">
      <c r="A268" t="s">
        <v>663</v>
      </c>
      <c r="B268" t="s">
        <v>346</v>
      </c>
      <c r="C268">
        <v>90</v>
      </c>
      <c r="D268">
        <v>2002</v>
      </c>
      <c r="E268">
        <v>395</v>
      </c>
      <c r="F268">
        <v>1607</v>
      </c>
      <c r="G268" s="34">
        <v>0.8</v>
      </c>
      <c r="H268" s="34">
        <v>0.5</v>
      </c>
    </row>
    <row r="269" spans="1:8" x14ac:dyDescent="0.25">
      <c r="A269" t="s">
        <v>664</v>
      </c>
      <c r="B269" t="s">
        <v>346</v>
      </c>
      <c r="C269">
        <v>90</v>
      </c>
      <c r="D269">
        <v>3204</v>
      </c>
      <c r="E269">
        <v>2538</v>
      </c>
      <c r="F269">
        <v>666</v>
      </c>
      <c r="G269" s="34">
        <v>0.21</v>
      </c>
      <c r="H269" s="34">
        <v>0.8</v>
      </c>
    </row>
    <row r="270" spans="1:8" x14ac:dyDescent="0.25">
      <c r="A270" t="s">
        <v>665</v>
      </c>
      <c r="B270" t="s">
        <v>346</v>
      </c>
      <c r="C270">
        <v>90</v>
      </c>
      <c r="D270">
        <v>3204</v>
      </c>
      <c r="E270">
        <v>1581</v>
      </c>
      <c r="F270">
        <v>1623</v>
      </c>
      <c r="G270" s="34">
        <v>0.51</v>
      </c>
      <c r="H270" s="34">
        <v>0.8</v>
      </c>
    </row>
    <row r="271" spans="1:8" x14ac:dyDescent="0.25">
      <c r="A271" t="s">
        <v>666</v>
      </c>
      <c r="B271" t="s">
        <v>346</v>
      </c>
      <c r="C271">
        <v>90</v>
      </c>
      <c r="D271">
        <v>3204</v>
      </c>
      <c r="E271">
        <v>637</v>
      </c>
      <c r="F271">
        <v>2567</v>
      </c>
      <c r="G271" s="34">
        <v>0.8</v>
      </c>
      <c r="H271" s="34">
        <v>0.8</v>
      </c>
    </row>
    <row r="272" spans="1:8" x14ac:dyDescent="0.25">
      <c r="A272" t="s">
        <v>667</v>
      </c>
      <c r="B272" t="s">
        <v>346</v>
      </c>
      <c r="C272">
        <v>110</v>
      </c>
      <c r="D272">
        <v>1199</v>
      </c>
      <c r="E272">
        <v>942</v>
      </c>
      <c r="F272">
        <v>257</v>
      </c>
      <c r="G272" s="34">
        <v>0.21</v>
      </c>
      <c r="H272" s="34">
        <v>0.2</v>
      </c>
    </row>
    <row r="273" spans="1:8" x14ac:dyDescent="0.25">
      <c r="A273" t="s">
        <v>668</v>
      </c>
      <c r="B273" t="s">
        <v>346</v>
      </c>
      <c r="C273">
        <v>110</v>
      </c>
      <c r="D273">
        <v>1199</v>
      </c>
      <c r="E273">
        <v>566</v>
      </c>
      <c r="F273">
        <v>633</v>
      </c>
      <c r="G273" s="34">
        <v>0.53</v>
      </c>
      <c r="H273" s="34">
        <v>0.2</v>
      </c>
    </row>
    <row r="274" spans="1:8" x14ac:dyDescent="0.25">
      <c r="A274" t="s">
        <v>669</v>
      </c>
      <c r="B274" t="s">
        <v>346</v>
      </c>
      <c r="C274">
        <v>110</v>
      </c>
      <c r="D274">
        <v>1199</v>
      </c>
      <c r="E274">
        <v>243</v>
      </c>
      <c r="F274">
        <v>956</v>
      </c>
      <c r="G274" s="34">
        <v>0.8</v>
      </c>
      <c r="H274" s="34">
        <v>0.2</v>
      </c>
    </row>
    <row r="275" spans="1:8" x14ac:dyDescent="0.25">
      <c r="A275" t="s">
        <v>670</v>
      </c>
      <c r="B275" t="s">
        <v>346</v>
      </c>
      <c r="C275">
        <v>110</v>
      </c>
      <c r="D275">
        <v>2997</v>
      </c>
      <c r="E275">
        <v>2422</v>
      </c>
      <c r="F275">
        <v>575</v>
      </c>
      <c r="G275" s="34">
        <v>0.19</v>
      </c>
      <c r="H275" s="34">
        <v>0.5</v>
      </c>
    </row>
    <row r="276" spans="1:8" x14ac:dyDescent="0.25">
      <c r="A276" t="s">
        <v>671</v>
      </c>
      <c r="B276" t="s">
        <v>346</v>
      </c>
      <c r="C276">
        <v>110</v>
      </c>
      <c r="D276">
        <v>2997</v>
      </c>
      <c r="E276">
        <v>1493</v>
      </c>
      <c r="F276">
        <v>1504</v>
      </c>
      <c r="G276" s="34">
        <v>0.5</v>
      </c>
      <c r="H276" s="34">
        <v>0.5</v>
      </c>
    </row>
    <row r="277" spans="1:8" x14ac:dyDescent="0.25">
      <c r="A277" t="s">
        <v>672</v>
      </c>
      <c r="B277" t="s">
        <v>346</v>
      </c>
      <c r="C277">
        <v>110</v>
      </c>
      <c r="D277">
        <v>2997</v>
      </c>
      <c r="E277">
        <v>614</v>
      </c>
      <c r="F277">
        <v>2383</v>
      </c>
      <c r="G277" s="34">
        <v>0.8</v>
      </c>
      <c r="H277" s="34">
        <v>0.5</v>
      </c>
    </row>
    <row r="278" spans="1:8" x14ac:dyDescent="0.25">
      <c r="A278" t="s">
        <v>673</v>
      </c>
      <c r="B278" t="s">
        <v>346</v>
      </c>
      <c r="C278">
        <v>110</v>
      </c>
      <c r="D278">
        <v>4796</v>
      </c>
      <c r="E278">
        <v>3827</v>
      </c>
      <c r="F278">
        <v>969</v>
      </c>
      <c r="G278" s="34">
        <v>0.2</v>
      </c>
      <c r="H278" s="34">
        <v>0.8</v>
      </c>
    </row>
    <row r="279" spans="1:8" x14ac:dyDescent="0.25">
      <c r="A279" t="s">
        <v>674</v>
      </c>
      <c r="B279" t="s">
        <v>346</v>
      </c>
      <c r="C279">
        <v>110</v>
      </c>
      <c r="D279">
        <v>4796</v>
      </c>
      <c r="E279">
        <v>2385</v>
      </c>
      <c r="F279">
        <v>2411</v>
      </c>
      <c r="G279" s="34">
        <v>0.5</v>
      </c>
      <c r="H279" s="34">
        <v>0.8</v>
      </c>
    </row>
    <row r="280" spans="1:8" x14ac:dyDescent="0.25">
      <c r="A280" t="s">
        <v>675</v>
      </c>
      <c r="B280" t="s">
        <v>346</v>
      </c>
      <c r="C280">
        <v>110</v>
      </c>
      <c r="D280">
        <v>4796</v>
      </c>
      <c r="E280">
        <v>932</v>
      </c>
      <c r="F280">
        <v>3864</v>
      </c>
      <c r="G280" s="34">
        <v>0.81</v>
      </c>
      <c r="H280" s="34">
        <v>0.8</v>
      </c>
    </row>
    <row r="281" spans="1:8" x14ac:dyDescent="0.25">
      <c r="A281" t="s">
        <v>676</v>
      </c>
      <c r="B281" t="s">
        <v>346</v>
      </c>
      <c r="C281">
        <v>130</v>
      </c>
      <c r="D281">
        <v>1677</v>
      </c>
      <c r="E281">
        <v>1351</v>
      </c>
      <c r="F281">
        <v>326</v>
      </c>
      <c r="G281" s="34">
        <v>0.19</v>
      </c>
      <c r="H281" s="34">
        <v>0.2</v>
      </c>
    </row>
    <row r="282" spans="1:8" x14ac:dyDescent="0.25">
      <c r="A282" t="s">
        <v>677</v>
      </c>
      <c r="B282" t="s">
        <v>346</v>
      </c>
      <c r="C282">
        <v>130</v>
      </c>
      <c r="D282">
        <v>1677</v>
      </c>
      <c r="E282">
        <v>806</v>
      </c>
      <c r="F282">
        <v>871</v>
      </c>
      <c r="G282" s="34">
        <v>0.52</v>
      </c>
      <c r="H282" s="34">
        <v>0.2</v>
      </c>
    </row>
    <row r="283" spans="1:8" x14ac:dyDescent="0.25">
      <c r="A283" t="s">
        <v>678</v>
      </c>
      <c r="B283" t="s">
        <v>346</v>
      </c>
      <c r="C283">
        <v>130</v>
      </c>
      <c r="D283">
        <v>1677</v>
      </c>
      <c r="E283">
        <v>341</v>
      </c>
      <c r="F283">
        <v>1336</v>
      </c>
      <c r="G283" s="34">
        <v>0.8</v>
      </c>
      <c r="H283" s="34">
        <v>0.2</v>
      </c>
    </row>
    <row r="284" spans="1:8" x14ac:dyDescent="0.25">
      <c r="A284" t="s">
        <v>679</v>
      </c>
      <c r="B284" t="s">
        <v>346</v>
      </c>
      <c r="C284">
        <v>130</v>
      </c>
      <c r="D284">
        <v>4192</v>
      </c>
      <c r="E284">
        <v>3369</v>
      </c>
      <c r="F284">
        <v>823</v>
      </c>
      <c r="G284" s="34">
        <v>0.2</v>
      </c>
      <c r="H284" s="34">
        <v>0.5</v>
      </c>
    </row>
    <row r="285" spans="1:8" x14ac:dyDescent="0.25">
      <c r="A285" t="s">
        <v>680</v>
      </c>
      <c r="B285" t="s">
        <v>346</v>
      </c>
      <c r="C285">
        <v>130</v>
      </c>
      <c r="D285">
        <v>4192</v>
      </c>
      <c r="E285">
        <v>2116</v>
      </c>
      <c r="F285">
        <v>2076</v>
      </c>
      <c r="G285" s="34">
        <v>0.5</v>
      </c>
      <c r="H285" s="34">
        <v>0.5</v>
      </c>
    </row>
    <row r="286" spans="1:8" x14ac:dyDescent="0.25">
      <c r="A286" t="s">
        <v>681</v>
      </c>
      <c r="B286" t="s">
        <v>346</v>
      </c>
      <c r="C286">
        <v>130</v>
      </c>
      <c r="D286">
        <v>4192</v>
      </c>
      <c r="E286">
        <v>831</v>
      </c>
      <c r="F286">
        <v>3361</v>
      </c>
      <c r="G286" s="34">
        <v>0.8</v>
      </c>
      <c r="H286" s="34">
        <v>0.5</v>
      </c>
    </row>
    <row r="287" spans="1:8" x14ac:dyDescent="0.25">
      <c r="A287" t="s">
        <v>682</v>
      </c>
      <c r="B287" t="s">
        <v>346</v>
      </c>
      <c r="C287">
        <v>130</v>
      </c>
      <c r="D287">
        <v>6708</v>
      </c>
      <c r="E287">
        <v>5346</v>
      </c>
      <c r="F287">
        <v>1362</v>
      </c>
      <c r="G287" s="34">
        <v>0.2</v>
      </c>
      <c r="H287" s="34">
        <v>0.8</v>
      </c>
    </row>
    <row r="288" spans="1:8" x14ac:dyDescent="0.25">
      <c r="A288" t="s">
        <v>683</v>
      </c>
      <c r="B288" t="s">
        <v>346</v>
      </c>
      <c r="C288">
        <v>130</v>
      </c>
      <c r="D288">
        <v>6708</v>
      </c>
      <c r="E288">
        <v>3441</v>
      </c>
      <c r="F288">
        <v>3267</v>
      </c>
      <c r="G288" s="34">
        <v>0.49</v>
      </c>
      <c r="H288" s="34">
        <v>0.8</v>
      </c>
    </row>
    <row r="289" spans="1:8" x14ac:dyDescent="0.25">
      <c r="A289" t="s">
        <v>684</v>
      </c>
      <c r="B289" t="s">
        <v>346</v>
      </c>
      <c r="C289">
        <v>130</v>
      </c>
      <c r="D289">
        <v>6708</v>
      </c>
      <c r="E289">
        <v>1335</v>
      </c>
      <c r="F289">
        <v>5373</v>
      </c>
      <c r="G289" s="34">
        <v>0.8</v>
      </c>
      <c r="H289" s="34">
        <v>0.8</v>
      </c>
    </row>
    <row r="290" spans="1:8" x14ac:dyDescent="0.25">
      <c r="A290" t="s">
        <v>685</v>
      </c>
      <c r="B290" t="s">
        <v>346</v>
      </c>
      <c r="C290">
        <v>150</v>
      </c>
      <c r="D290">
        <v>2235</v>
      </c>
      <c r="E290">
        <v>1768</v>
      </c>
      <c r="F290">
        <v>467</v>
      </c>
      <c r="G290" s="34">
        <v>0.21</v>
      </c>
      <c r="H290" s="34">
        <v>0.2</v>
      </c>
    </row>
    <row r="291" spans="1:8" x14ac:dyDescent="0.25">
      <c r="A291" t="s">
        <v>686</v>
      </c>
      <c r="B291" t="s">
        <v>346</v>
      </c>
      <c r="C291">
        <v>150</v>
      </c>
      <c r="D291">
        <v>2235</v>
      </c>
      <c r="E291">
        <v>1129</v>
      </c>
      <c r="F291">
        <v>1106</v>
      </c>
      <c r="G291" s="34">
        <v>0.49</v>
      </c>
      <c r="H291" s="34">
        <v>0.2</v>
      </c>
    </row>
    <row r="292" spans="1:8" x14ac:dyDescent="0.25">
      <c r="A292" t="s">
        <v>687</v>
      </c>
      <c r="B292" t="s">
        <v>346</v>
      </c>
      <c r="C292">
        <v>150</v>
      </c>
      <c r="D292">
        <v>2235</v>
      </c>
      <c r="E292">
        <v>440</v>
      </c>
      <c r="F292">
        <v>1795</v>
      </c>
      <c r="G292" s="34">
        <v>0.8</v>
      </c>
      <c r="H292" s="34">
        <v>0.2</v>
      </c>
    </row>
    <row r="293" spans="1:8" x14ac:dyDescent="0.25">
      <c r="A293" t="s">
        <v>688</v>
      </c>
      <c r="B293" t="s">
        <v>346</v>
      </c>
      <c r="C293">
        <v>150</v>
      </c>
      <c r="D293">
        <v>5587</v>
      </c>
      <c r="E293">
        <v>4476</v>
      </c>
      <c r="F293">
        <v>1111</v>
      </c>
      <c r="G293" s="34">
        <v>0.2</v>
      </c>
      <c r="H293" s="34">
        <v>0.5</v>
      </c>
    </row>
    <row r="294" spans="1:8" x14ac:dyDescent="0.25">
      <c r="A294" t="s">
        <v>689</v>
      </c>
      <c r="B294" t="s">
        <v>346</v>
      </c>
      <c r="C294">
        <v>150</v>
      </c>
      <c r="D294">
        <v>5587</v>
      </c>
      <c r="E294">
        <v>2708</v>
      </c>
      <c r="F294">
        <v>2879</v>
      </c>
      <c r="G294" s="34">
        <v>0.52</v>
      </c>
      <c r="H294" s="34">
        <v>0.5</v>
      </c>
    </row>
    <row r="295" spans="1:8" x14ac:dyDescent="0.25">
      <c r="A295" t="s">
        <v>690</v>
      </c>
      <c r="B295" t="s">
        <v>346</v>
      </c>
      <c r="C295">
        <v>150</v>
      </c>
      <c r="D295">
        <v>5587</v>
      </c>
      <c r="E295">
        <v>1089</v>
      </c>
      <c r="F295">
        <v>4498</v>
      </c>
      <c r="G295" s="34">
        <v>0.81</v>
      </c>
      <c r="H295" s="34">
        <v>0.5</v>
      </c>
    </row>
    <row r="296" spans="1:8" x14ac:dyDescent="0.25">
      <c r="A296" t="s">
        <v>691</v>
      </c>
      <c r="B296" t="s">
        <v>346</v>
      </c>
      <c r="C296">
        <v>150</v>
      </c>
      <c r="D296">
        <v>8940</v>
      </c>
      <c r="E296">
        <v>7180</v>
      </c>
      <c r="F296">
        <v>1760</v>
      </c>
      <c r="G296" s="34">
        <v>0.2</v>
      </c>
      <c r="H296" s="34">
        <v>0.8</v>
      </c>
    </row>
    <row r="297" spans="1:8" x14ac:dyDescent="0.25">
      <c r="A297" t="s">
        <v>692</v>
      </c>
      <c r="B297" t="s">
        <v>346</v>
      </c>
      <c r="C297">
        <v>150</v>
      </c>
      <c r="D297">
        <v>8940</v>
      </c>
      <c r="E297">
        <v>4380</v>
      </c>
      <c r="F297">
        <v>4560</v>
      </c>
      <c r="G297" s="34">
        <v>0.51</v>
      </c>
      <c r="H297" s="34">
        <v>0.8</v>
      </c>
    </row>
    <row r="298" spans="1:8" x14ac:dyDescent="0.25">
      <c r="A298" t="s">
        <v>693</v>
      </c>
      <c r="B298" t="s">
        <v>346</v>
      </c>
      <c r="C298">
        <v>150</v>
      </c>
      <c r="D298">
        <v>8940</v>
      </c>
      <c r="E298">
        <v>1802</v>
      </c>
      <c r="F298">
        <v>7138</v>
      </c>
      <c r="G298" s="34">
        <v>0.8</v>
      </c>
      <c r="H298" s="34">
        <v>0.8</v>
      </c>
    </row>
    <row r="299" spans="1:8" x14ac:dyDescent="0.25">
      <c r="A299" t="s">
        <v>694</v>
      </c>
      <c r="B299" t="s">
        <v>346</v>
      </c>
      <c r="C299">
        <v>170</v>
      </c>
      <c r="D299">
        <v>2873</v>
      </c>
      <c r="E299">
        <v>2332</v>
      </c>
      <c r="F299">
        <v>541</v>
      </c>
      <c r="G299" s="34">
        <v>0.19</v>
      </c>
      <c r="H299" s="34">
        <v>0.2</v>
      </c>
    </row>
    <row r="300" spans="1:8" x14ac:dyDescent="0.25">
      <c r="A300" t="s">
        <v>695</v>
      </c>
      <c r="B300" t="s">
        <v>346</v>
      </c>
      <c r="C300">
        <v>170</v>
      </c>
      <c r="D300">
        <v>2873</v>
      </c>
      <c r="E300">
        <v>1474</v>
      </c>
      <c r="F300">
        <v>1399</v>
      </c>
      <c r="G300" s="34">
        <v>0.49</v>
      </c>
      <c r="H300" s="34">
        <v>0.2</v>
      </c>
    </row>
    <row r="301" spans="1:8" x14ac:dyDescent="0.25">
      <c r="A301" t="s">
        <v>696</v>
      </c>
      <c r="B301" t="s">
        <v>346</v>
      </c>
      <c r="C301">
        <v>170</v>
      </c>
      <c r="D301">
        <v>2873</v>
      </c>
      <c r="E301">
        <v>527</v>
      </c>
      <c r="F301">
        <v>2346</v>
      </c>
      <c r="G301" s="34">
        <v>0.82</v>
      </c>
      <c r="H301" s="34">
        <v>0.2</v>
      </c>
    </row>
    <row r="302" spans="1:8" x14ac:dyDescent="0.25">
      <c r="A302" t="s">
        <v>697</v>
      </c>
      <c r="B302" t="s">
        <v>346</v>
      </c>
      <c r="C302">
        <v>170</v>
      </c>
      <c r="D302">
        <v>7182</v>
      </c>
      <c r="E302">
        <v>5812</v>
      </c>
      <c r="F302">
        <v>1370</v>
      </c>
      <c r="G302" s="34">
        <v>0.19</v>
      </c>
      <c r="H302" s="34">
        <v>0.5</v>
      </c>
    </row>
    <row r="303" spans="1:8" x14ac:dyDescent="0.25">
      <c r="A303" t="s">
        <v>698</v>
      </c>
      <c r="B303" t="s">
        <v>346</v>
      </c>
      <c r="C303">
        <v>170</v>
      </c>
      <c r="D303">
        <v>7182</v>
      </c>
      <c r="E303">
        <v>3571</v>
      </c>
      <c r="F303">
        <v>3611</v>
      </c>
      <c r="G303" s="34">
        <v>0.5</v>
      </c>
      <c r="H303" s="34">
        <v>0.5</v>
      </c>
    </row>
    <row r="304" spans="1:8" x14ac:dyDescent="0.25">
      <c r="A304" t="s">
        <v>699</v>
      </c>
      <c r="B304" t="s">
        <v>346</v>
      </c>
      <c r="C304">
        <v>170</v>
      </c>
      <c r="D304">
        <v>7182</v>
      </c>
      <c r="E304">
        <v>1407</v>
      </c>
      <c r="F304">
        <v>5775</v>
      </c>
      <c r="G304" s="34">
        <v>0.8</v>
      </c>
      <c r="H304" s="34">
        <v>0.5</v>
      </c>
    </row>
    <row r="305" spans="1:8" x14ac:dyDescent="0.25">
      <c r="A305" t="s">
        <v>700</v>
      </c>
      <c r="B305" t="s">
        <v>346</v>
      </c>
      <c r="C305">
        <v>170</v>
      </c>
      <c r="D305">
        <v>11492</v>
      </c>
      <c r="E305">
        <v>9177</v>
      </c>
      <c r="F305">
        <v>2315</v>
      </c>
      <c r="G305" s="34">
        <v>0.2</v>
      </c>
      <c r="H305" s="34">
        <v>0.8</v>
      </c>
    </row>
    <row r="306" spans="1:8" x14ac:dyDescent="0.25">
      <c r="A306" t="s">
        <v>701</v>
      </c>
      <c r="B306" t="s">
        <v>346</v>
      </c>
      <c r="C306">
        <v>170</v>
      </c>
      <c r="D306">
        <v>11492</v>
      </c>
      <c r="E306">
        <v>5798</v>
      </c>
      <c r="F306">
        <v>5694</v>
      </c>
      <c r="G306" s="34">
        <v>0.5</v>
      </c>
      <c r="H306" s="34">
        <v>0.8</v>
      </c>
    </row>
    <row r="307" spans="1:8" x14ac:dyDescent="0.25">
      <c r="A307" t="s">
        <v>702</v>
      </c>
      <c r="B307" t="s">
        <v>346</v>
      </c>
      <c r="C307">
        <v>170</v>
      </c>
      <c r="D307">
        <v>11492</v>
      </c>
      <c r="E307">
        <v>2342</v>
      </c>
      <c r="F307">
        <v>9150</v>
      </c>
      <c r="G307" s="34">
        <v>0.8</v>
      </c>
      <c r="H307" s="34">
        <v>0.8</v>
      </c>
    </row>
    <row r="308" spans="1:8" x14ac:dyDescent="0.25">
      <c r="A308" t="s">
        <v>703</v>
      </c>
      <c r="B308" t="s">
        <v>346</v>
      </c>
      <c r="C308">
        <v>190</v>
      </c>
      <c r="D308">
        <v>3591</v>
      </c>
      <c r="E308">
        <v>2875</v>
      </c>
      <c r="F308">
        <v>716</v>
      </c>
      <c r="G308" s="34">
        <v>0.2</v>
      </c>
      <c r="H308" s="34">
        <v>0.2</v>
      </c>
    </row>
    <row r="309" spans="1:8" x14ac:dyDescent="0.25">
      <c r="A309" t="s">
        <v>704</v>
      </c>
      <c r="B309" t="s">
        <v>346</v>
      </c>
      <c r="C309">
        <v>190</v>
      </c>
      <c r="D309">
        <v>3591</v>
      </c>
      <c r="E309">
        <v>1783</v>
      </c>
      <c r="F309">
        <v>1808</v>
      </c>
      <c r="G309" s="34">
        <v>0.5</v>
      </c>
      <c r="H309" s="34">
        <v>0.2</v>
      </c>
    </row>
    <row r="310" spans="1:8" x14ac:dyDescent="0.25">
      <c r="A310" t="s">
        <v>705</v>
      </c>
      <c r="B310" t="s">
        <v>346</v>
      </c>
      <c r="C310">
        <v>190</v>
      </c>
      <c r="D310">
        <v>3591</v>
      </c>
      <c r="E310">
        <v>721</v>
      </c>
      <c r="F310">
        <v>2870</v>
      </c>
      <c r="G310" s="34">
        <v>0.8</v>
      </c>
      <c r="H310" s="34">
        <v>0.2</v>
      </c>
    </row>
    <row r="311" spans="1:8" x14ac:dyDescent="0.25">
      <c r="A311" t="s">
        <v>706</v>
      </c>
      <c r="B311" t="s">
        <v>346</v>
      </c>
      <c r="C311">
        <v>190</v>
      </c>
      <c r="D311">
        <v>8977</v>
      </c>
      <c r="E311">
        <v>7168</v>
      </c>
      <c r="F311">
        <v>1809</v>
      </c>
      <c r="G311" s="34">
        <v>0.2</v>
      </c>
      <c r="H311" s="34">
        <v>0.5</v>
      </c>
    </row>
    <row r="312" spans="1:8" x14ac:dyDescent="0.25">
      <c r="A312" t="s">
        <v>707</v>
      </c>
      <c r="B312" t="s">
        <v>346</v>
      </c>
      <c r="C312">
        <v>190</v>
      </c>
      <c r="D312">
        <v>8977</v>
      </c>
      <c r="E312">
        <v>4482</v>
      </c>
      <c r="F312">
        <v>4495</v>
      </c>
      <c r="G312" s="34">
        <v>0.5</v>
      </c>
      <c r="H312" s="34">
        <v>0.5</v>
      </c>
    </row>
    <row r="313" spans="1:8" x14ac:dyDescent="0.25">
      <c r="A313" t="s">
        <v>708</v>
      </c>
      <c r="B313" t="s">
        <v>346</v>
      </c>
      <c r="C313">
        <v>190</v>
      </c>
      <c r="D313">
        <v>8977</v>
      </c>
      <c r="E313">
        <v>1807</v>
      </c>
      <c r="F313">
        <v>7170</v>
      </c>
      <c r="G313" s="34">
        <v>0.8</v>
      </c>
      <c r="H313" s="34">
        <v>0.5</v>
      </c>
    </row>
    <row r="314" spans="1:8" x14ac:dyDescent="0.25">
      <c r="A314" t="s">
        <v>709</v>
      </c>
      <c r="B314" t="s">
        <v>346</v>
      </c>
      <c r="C314">
        <v>190</v>
      </c>
      <c r="D314">
        <v>14364</v>
      </c>
      <c r="E314">
        <v>11527</v>
      </c>
      <c r="F314">
        <v>2837</v>
      </c>
      <c r="G314" s="34">
        <v>0.2</v>
      </c>
      <c r="H314" s="34">
        <v>0.8</v>
      </c>
    </row>
    <row r="315" spans="1:8" x14ac:dyDescent="0.25">
      <c r="A315" t="s">
        <v>710</v>
      </c>
      <c r="B315" t="s">
        <v>346</v>
      </c>
      <c r="C315">
        <v>190</v>
      </c>
      <c r="D315">
        <v>14364</v>
      </c>
      <c r="E315">
        <v>7237</v>
      </c>
      <c r="F315">
        <v>7127</v>
      </c>
      <c r="G315" s="34">
        <v>0.5</v>
      </c>
      <c r="H315" s="34">
        <v>0.8</v>
      </c>
    </row>
    <row r="316" spans="1:8" x14ac:dyDescent="0.25">
      <c r="A316" t="s">
        <v>711</v>
      </c>
      <c r="B316" t="s">
        <v>346</v>
      </c>
      <c r="C316">
        <v>190</v>
      </c>
      <c r="D316">
        <v>14364</v>
      </c>
      <c r="E316">
        <v>2869</v>
      </c>
      <c r="F316">
        <v>11495</v>
      </c>
      <c r="G316" s="34">
        <v>0.8</v>
      </c>
      <c r="H316" s="34">
        <v>0.8</v>
      </c>
    </row>
    <row r="317" spans="1:8" x14ac:dyDescent="0.25">
      <c r="A317" t="s">
        <v>712</v>
      </c>
      <c r="B317" t="s">
        <v>346</v>
      </c>
      <c r="C317">
        <v>210</v>
      </c>
      <c r="D317">
        <v>4389</v>
      </c>
      <c r="E317">
        <v>3494</v>
      </c>
      <c r="F317">
        <v>895</v>
      </c>
      <c r="G317" s="34">
        <v>0.2</v>
      </c>
      <c r="H317" s="34">
        <v>0.2</v>
      </c>
    </row>
    <row r="318" spans="1:8" x14ac:dyDescent="0.25">
      <c r="A318" t="s">
        <v>713</v>
      </c>
      <c r="B318" t="s">
        <v>346</v>
      </c>
      <c r="C318">
        <v>210</v>
      </c>
      <c r="D318">
        <v>4389</v>
      </c>
      <c r="E318">
        <v>2195</v>
      </c>
      <c r="F318">
        <v>2194</v>
      </c>
      <c r="G318" s="34">
        <v>0.5</v>
      </c>
      <c r="H318" s="34">
        <v>0.2</v>
      </c>
    </row>
    <row r="319" spans="1:8" x14ac:dyDescent="0.25">
      <c r="A319" t="s">
        <v>714</v>
      </c>
      <c r="B319" t="s">
        <v>346</v>
      </c>
      <c r="C319">
        <v>210</v>
      </c>
      <c r="D319">
        <v>4389</v>
      </c>
      <c r="E319">
        <v>856</v>
      </c>
      <c r="F319">
        <v>3533</v>
      </c>
      <c r="G319" s="34">
        <v>0.8</v>
      </c>
      <c r="H319" s="34">
        <v>0.2</v>
      </c>
    </row>
    <row r="320" spans="1:8" x14ac:dyDescent="0.25">
      <c r="A320" t="s">
        <v>715</v>
      </c>
      <c r="B320" t="s">
        <v>346</v>
      </c>
      <c r="C320">
        <v>210</v>
      </c>
      <c r="D320">
        <v>10972</v>
      </c>
      <c r="E320">
        <v>8783</v>
      </c>
      <c r="F320">
        <v>2189</v>
      </c>
      <c r="G320" s="34">
        <v>0.2</v>
      </c>
      <c r="H320" s="34">
        <v>0.5</v>
      </c>
    </row>
    <row r="321" spans="1:8" x14ac:dyDescent="0.25">
      <c r="A321" t="s">
        <v>716</v>
      </c>
      <c r="B321" t="s">
        <v>346</v>
      </c>
      <c r="C321">
        <v>210</v>
      </c>
      <c r="D321">
        <v>10972</v>
      </c>
      <c r="E321">
        <v>5452</v>
      </c>
      <c r="F321">
        <v>5520</v>
      </c>
      <c r="G321" s="34">
        <v>0.5</v>
      </c>
      <c r="H321" s="34">
        <v>0.5</v>
      </c>
    </row>
    <row r="322" spans="1:8" x14ac:dyDescent="0.25">
      <c r="A322" t="s">
        <v>717</v>
      </c>
      <c r="B322" t="s">
        <v>346</v>
      </c>
      <c r="C322">
        <v>210</v>
      </c>
      <c r="D322">
        <v>10972</v>
      </c>
      <c r="E322">
        <v>2226</v>
      </c>
      <c r="F322">
        <v>8746</v>
      </c>
      <c r="G322" s="34">
        <v>0.8</v>
      </c>
      <c r="H322" s="34">
        <v>0.5</v>
      </c>
    </row>
    <row r="323" spans="1:8" x14ac:dyDescent="0.25">
      <c r="A323" t="s">
        <v>718</v>
      </c>
      <c r="B323" t="s">
        <v>346</v>
      </c>
      <c r="C323">
        <v>210</v>
      </c>
      <c r="D323">
        <v>17556</v>
      </c>
      <c r="E323">
        <v>14042</v>
      </c>
      <c r="F323">
        <v>3514</v>
      </c>
      <c r="G323" s="34">
        <v>0.2</v>
      </c>
      <c r="H323" s="34">
        <v>0.8</v>
      </c>
    </row>
    <row r="324" spans="1:8" x14ac:dyDescent="0.25">
      <c r="A324" t="s">
        <v>719</v>
      </c>
      <c r="B324" t="s">
        <v>346</v>
      </c>
      <c r="C324">
        <v>210</v>
      </c>
      <c r="D324">
        <v>17556</v>
      </c>
      <c r="E324">
        <v>8750</v>
      </c>
      <c r="F324">
        <v>8806</v>
      </c>
      <c r="G324" s="34">
        <v>0.5</v>
      </c>
      <c r="H324" s="34">
        <v>0.8</v>
      </c>
    </row>
    <row r="325" spans="1:8" x14ac:dyDescent="0.25">
      <c r="A325" t="s">
        <v>720</v>
      </c>
      <c r="B325" t="s">
        <v>346</v>
      </c>
      <c r="C325">
        <v>210</v>
      </c>
      <c r="D325">
        <v>17556</v>
      </c>
      <c r="E325">
        <v>3550</v>
      </c>
      <c r="F325">
        <v>14006</v>
      </c>
      <c r="G325" s="34">
        <v>0.8</v>
      </c>
      <c r="H325" s="34">
        <v>0.8</v>
      </c>
    </row>
    <row r="326" spans="1:8" x14ac:dyDescent="0.25">
      <c r="A326" t="s">
        <v>721</v>
      </c>
      <c r="B326" t="s">
        <v>346</v>
      </c>
      <c r="C326">
        <v>230</v>
      </c>
      <c r="D326">
        <v>5267</v>
      </c>
      <c r="E326">
        <v>4206</v>
      </c>
      <c r="F326">
        <v>1061</v>
      </c>
      <c r="G326" s="34">
        <v>0.2</v>
      </c>
      <c r="H326" s="34">
        <v>0.2</v>
      </c>
    </row>
    <row r="327" spans="1:8" x14ac:dyDescent="0.25">
      <c r="A327" t="s">
        <v>722</v>
      </c>
      <c r="B327" t="s">
        <v>346</v>
      </c>
      <c r="C327">
        <v>230</v>
      </c>
      <c r="D327">
        <v>5267</v>
      </c>
      <c r="E327">
        <v>2623</v>
      </c>
      <c r="F327">
        <v>2644</v>
      </c>
      <c r="G327" s="34">
        <v>0.5</v>
      </c>
      <c r="H327" s="34">
        <v>0.2</v>
      </c>
    </row>
    <row r="328" spans="1:8" x14ac:dyDescent="0.25">
      <c r="A328" t="s">
        <v>723</v>
      </c>
      <c r="B328" t="s">
        <v>346</v>
      </c>
      <c r="C328">
        <v>230</v>
      </c>
      <c r="D328">
        <v>5267</v>
      </c>
      <c r="E328">
        <v>1058</v>
      </c>
      <c r="F328">
        <v>4209</v>
      </c>
      <c r="G328" s="34">
        <v>0.8</v>
      </c>
      <c r="H328" s="34">
        <v>0.2</v>
      </c>
    </row>
    <row r="329" spans="1:8" x14ac:dyDescent="0.25">
      <c r="A329" t="s">
        <v>724</v>
      </c>
      <c r="B329" t="s">
        <v>346</v>
      </c>
      <c r="C329">
        <v>230</v>
      </c>
      <c r="D329">
        <v>13167</v>
      </c>
      <c r="E329">
        <v>10464</v>
      </c>
      <c r="F329">
        <v>2703</v>
      </c>
      <c r="G329" s="34">
        <v>0.21</v>
      </c>
      <c r="H329" s="34">
        <v>0.5</v>
      </c>
    </row>
    <row r="330" spans="1:8" x14ac:dyDescent="0.25">
      <c r="A330" t="s">
        <v>725</v>
      </c>
      <c r="B330" t="s">
        <v>346</v>
      </c>
      <c r="C330">
        <v>230</v>
      </c>
      <c r="D330">
        <v>13167</v>
      </c>
      <c r="E330">
        <v>6714</v>
      </c>
      <c r="F330">
        <v>6453</v>
      </c>
      <c r="G330" s="34">
        <v>0.49</v>
      </c>
      <c r="H330" s="34">
        <v>0.5</v>
      </c>
    </row>
    <row r="331" spans="1:8" x14ac:dyDescent="0.25">
      <c r="A331" t="s">
        <v>726</v>
      </c>
      <c r="B331" t="s">
        <v>346</v>
      </c>
      <c r="C331">
        <v>230</v>
      </c>
      <c r="D331">
        <v>13167</v>
      </c>
      <c r="E331">
        <v>2571</v>
      </c>
      <c r="F331">
        <v>10596</v>
      </c>
      <c r="G331" s="34">
        <v>0.8</v>
      </c>
      <c r="H331" s="34">
        <v>0.5</v>
      </c>
    </row>
    <row r="332" spans="1:8" x14ac:dyDescent="0.25">
      <c r="A332" t="s">
        <v>727</v>
      </c>
      <c r="B332" t="s">
        <v>346</v>
      </c>
      <c r="C332">
        <v>230</v>
      </c>
      <c r="D332">
        <v>21068</v>
      </c>
      <c r="E332">
        <v>16805</v>
      </c>
      <c r="F332">
        <v>4263</v>
      </c>
      <c r="G332" s="34">
        <v>0.2</v>
      </c>
      <c r="H332" s="34">
        <v>0.8</v>
      </c>
    </row>
    <row r="333" spans="1:8" x14ac:dyDescent="0.25">
      <c r="A333" t="s">
        <v>728</v>
      </c>
      <c r="B333" t="s">
        <v>346</v>
      </c>
      <c r="C333">
        <v>230</v>
      </c>
      <c r="D333">
        <v>21068</v>
      </c>
      <c r="E333">
        <v>10329</v>
      </c>
      <c r="F333">
        <v>10739</v>
      </c>
      <c r="G333" s="34">
        <v>0.51</v>
      </c>
      <c r="H333" s="34">
        <v>0.8</v>
      </c>
    </row>
    <row r="334" spans="1:8" x14ac:dyDescent="0.25">
      <c r="A334" t="s">
        <v>729</v>
      </c>
      <c r="B334" t="s">
        <v>346</v>
      </c>
      <c r="C334">
        <v>230</v>
      </c>
      <c r="D334">
        <v>21068</v>
      </c>
      <c r="E334">
        <v>4212</v>
      </c>
      <c r="F334">
        <v>16856</v>
      </c>
      <c r="G334" s="34">
        <v>0.8</v>
      </c>
      <c r="H334" s="34">
        <v>0.8</v>
      </c>
    </row>
    <row r="335" spans="1:8" x14ac:dyDescent="0.25">
      <c r="A335" t="s">
        <v>730</v>
      </c>
      <c r="B335" t="s">
        <v>346</v>
      </c>
      <c r="C335">
        <v>250</v>
      </c>
      <c r="D335">
        <v>6225</v>
      </c>
      <c r="E335">
        <v>5006</v>
      </c>
      <c r="F335">
        <v>1219</v>
      </c>
      <c r="G335" s="34">
        <v>0.2</v>
      </c>
      <c r="H335" s="34">
        <v>0.2</v>
      </c>
    </row>
    <row r="336" spans="1:8" x14ac:dyDescent="0.25">
      <c r="A336" t="s">
        <v>731</v>
      </c>
      <c r="B336" t="s">
        <v>346</v>
      </c>
      <c r="C336">
        <v>250</v>
      </c>
      <c r="D336">
        <v>6225</v>
      </c>
      <c r="E336">
        <v>3080</v>
      </c>
      <c r="F336">
        <v>3145</v>
      </c>
      <c r="G336" s="34">
        <v>0.51</v>
      </c>
      <c r="H336" s="34">
        <v>0.2</v>
      </c>
    </row>
    <row r="337" spans="1:8" x14ac:dyDescent="0.25">
      <c r="A337" t="s">
        <v>732</v>
      </c>
      <c r="B337" t="s">
        <v>346</v>
      </c>
      <c r="C337">
        <v>250</v>
      </c>
      <c r="D337">
        <v>6225</v>
      </c>
      <c r="E337">
        <v>1215</v>
      </c>
      <c r="F337">
        <v>5010</v>
      </c>
      <c r="G337" s="34">
        <v>0.8</v>
      </c>
      <c r="H337" s="34">
        <v>0.2</v>
      </c>
    </row>
    <row r="338" spans="1:8" x14ac:dyDescent="0.25">
      <c r="A338" t="s">
        <v>733</v>
      </c>
      <c r="B338" t="s">
        <v>346</v>
      </c>
      <c r="C338">
        <v>250</v>
      </c>
      <c r="D338">
        <v>15562</v>
      </c>
      <c r="E338">
        <v>12465</v>
      </c>
      <c r="F338">
        <v>3097</v>
      </c>
      <c r="G338" s="34">
        <v>0.2</v>
      </c>
      <c r="H338" s="34">
        <v>0.5</v>
      </c>
    </row>
    <row r="339" spans="1:8" x14ac:dyDescent="0.25">
      <c r="A339" t="s">
        <v>734</v>
      </c>
      <c r="B339" t="s">
        <v>346</v>
      </c>
      <c r="C339">
        <v>250</v>
      </c>
      <c r="D339">
        <v>15562</v>
      </c>
      <c r="E339">
        <v>7794</v>
      </c>
      <c r="F339">
        <v>7768</v>
      </c>
      <c r="G339" s="34">
        <v>0.5</v>
      </c>
      <c r="H339" s="34">
        <v>0.5</v>
      </c>
    </row>
    <row r="340" spans="1:8" x14ac:dyDescent="0.25">
      <c r="A340" t="s">
        <v>735</v>
      </c>
      <c r="B340" t="s">
        <v>346</v>
      </c>
      <c r="C340">
        <v>250</v>
      </c>
      <c r="D340">
        <v>15562</v>
      </c>
      <c r="E340">
        <v>3178</v>
      </c>
      <c r="F340">
        <v>12384</v>
      </c>
      <c r="G340" s="34">
        <v>0.8</v>
      </c>
      <c r="H340" s="34">
        <v>0.5</v>
      </c>
    </row>
    <row r="341" spans="1:8" x14ac:dyDescent="0.25">
      <c r="A341" t="s">
        <v>736</v>
      </c>
      <c r="B341" t="s">
        <v>346</v>
      </c>
      <c r="C341">
        <v>250</v>
      </c>
      <c r="D341">
        <v>24900</v>
      </c>
      <c r="E341">
        <v>20021</v>
      </c>
      <c r="F341">
        <v>4879</v>
      </c>
      <c r="G341" s="34">
        <v>0.2</v>
      </c>
      <c r="H341" s="34">
        <v>0.8</v>
      </c>
    </row>
    <row r="342" spans="1:8" x14ac:dyDescent="0.25">
      <c r="A342" t="s">
        <v>737</v>
      </c>
      <c r="B342" t="s">
        <v>346</v>
      </c>
      <c r="C342">
        <v>250</v>
      </c>
      <c r="D342">
        <v>24900</v>
      </c>
      <c r="E342">
        <v>12426</v>
      </c>
      <c r="F342">
        <v>12474</v>
      </c>
      <c r="G342" s="34">
        <v>0.5</v>
      </c>
      <c r="H342" s="34">
        <v>0.8</v>
      </c>
    </row>
    <row r="343" spans="1:8" x14ac:dyDescent="0.25">
      <c r="A343" t="s">
        <v>738</v>
      </c>
      <c r="B343" t="s">
        <v>346</v>
      </c>
      <c r="C343">
        <v>250</v>
      </c>
      <c r="D343">
        <v>24900</v>
      </c>
      <c r="E343">
        <v>4892</v>
      </c>
      <c r="F343">
        <v>20008</v>
      </c>
      <c r="G343" s="34">
        <v>0.8</v>
      </c>
      <c r="H343" s="34">
        <v>0.8</v>
      </c>
    </row>
    <row r="344" spans="1:8" x14ac:dyDescent="0.25">
      <c r="A344" t="s">
        <v>383</v>
      </c>
      <c r="B344" t="s">
        <v>384</v>
      </c>
      <c r="C344">
        <v>1007</v>
      </c>
      <c r="D344">
        <v>6438</v>
      </c>
      <c r="E344">
        <v>4413</v>
      </c>
      <c r="F344">
        <v>266</v>
      </c>
      <c r="G344" s="34">
        <v>0.04</v>
      </c>
      <c r="H344" s="34">
        <v>0.01</v>
      </c>
    </row>
    <row r="345" spans="1:8" x14ac:dyDescent="0.25">
      <c r="A345" t="s">
        <v>385</v>
      </c>
      <c r="B345" t="s">
        <v>384</v>
      </c>
      <c r="C345">
        <v>1049</v>
      </c>
      <c r="D345">
        <v>7097</v>
      </c>
      <c r="E345">
        <v>5901</v>
      </c>
      <c r="F345">
        <v>872</v>
      </c>
      <c r="G345" s="34">
        <v>0.12</v>
      </c>
      <c r="H345" s="34">
        <v>0.01</v>
      </c>
    </row>
    <row r="346" spans="1:8" x14ac:dyDescent="0.25">
      <c r="A346" t="s">
        <v>386</v>
      </c>
      <c r="B346" t="s">
        <v>384</v>
      </c>
      <c r="C346">
        <v>102</v>
      </c>
      <c r="D346">
        <v>297</v>
      </c>
      <c r="E346">
        <v>159</v>
      </c>
      <c r="F346">
        <v>26</v>
      </c>
      <c r="G346" s="34">
        <v>0.09</v>
      </c>
      <c r="H346" s="34">
        <v>0.06</v>
      </c>
    </row>
    <row r="347" spans="1:8" x14ac:dyDescent="0.25">
      <c r="A347" t="s">
        <v>387</v>
      </c>
      <c r="B347" t="s">
        <v>384</v>
      </c>
      <c r="C347">
        <v>103</v>
      </c>
      <c r="D347">
        <v>1051</v>
      </c>
      <c r="E347">
        <v>705</v>
      </c>
      <c r="F347">
        <v>92</v>
      </c>
      <c r="G347" s="34">
        <v>0.09</v>
      </c>
      <c r="H347" s="34">
        <v>0.2</v>
      </c>
    </row>
    <row r="348" spans="1:8" x14ac:dyDescent="0.25">
      <c r="A348" t="s">
        <v>388</v>
      </c>
      <c r="B348" t="s">
        <v>384</v>
      </c>
      <c r="C348">
        <v>119</v>
      </c>
      <c r="D348">
        <v>549</v>
      </c>
      <c r="E348">
        <v>454</v>
      </c>
      <c r="F348">
        <v>95</v>
      </c>
      <c r="G348" s="34">
        <v>0.17</v>
      </c>
      <c r="H348" s="34">
        <v>0.08</v>
      </c>
    </row>
    <row r="349" spans="1:8" x14ac:dyDescent="0.25">
      <c r="A349" t="s">
        <v>389</v>
      </c>
      <c r="B349" t="s">
        <v>384</v>
      </c>
      <c r="C349">
        <v>2501</v>
      </c>
      <c r="D349">
        <v>8471</v>
      </c>
      <c r="E349">
        <v>3846</v>
      </c>
      <c r="F349">
        <v>434</v>
      </c>
      <c r="G349" s="34">
        <v>0.05</v>
      </c>
      <c r="H349" s="34">
        <v>0</v>
      </c>
    </row>
    <row r="350" spans="1:8" x14ac:dyDescent="0.25">
      <c r="A350" t="s">
        <v>390</v>
      </c>
      <c r="B350" t="s">
        <v>384</v>
      </c>
      <c r="C350">
        <v>2516</v>
      </c>
      <c r="D350">
        <v>29630</v>
      </c>
      <c r="E350">
        <v>19979</v>
      </c>
      <c r="F350">
        <v>1131</v>
      </c>
      <c r="G350" s="34">
        <v>0.04</v>
      </c>
      <c r="H350" s="34">
        <v>0.01</v>
      </c>
    </row>
    <row r="351" spans="1:8" x14ac:dyDescent="0.25">
      <c r="A351" t="s">
        <v>391</v>
      </c>
      <c r="B351" t="s">
        <v>384</v>
      </c>
      <c r="C351">
        <v>5000</v>
      </c>
      <c r="D351">
        <v>24252</v>
      </c>
      <c r="E351">
        <v>16243</v>
      </c>
      <c r="F351">
        <v>3282</v>
      </c>
      <c r="G351" s="34">
        <v>0.14000000000000001</v>
      </c>
      <c r="H351" s="34">
        <v>0</v>
      </c>
    </row>
    <row r="352" spans="1:8" x14ac:dyDescent="0.25">
      <c r="A352" t="s">
        <v>392</v>
      </c>
      <c r="B352" t="s">
        <v>384</v>
      </c>
      <c r="C352">
        <v>500</v>
      </c>
      <c r="D352">
        <v>2697</v>
      </c>
      <c r="E352">
        <v>1416</v>
      </c>
      <c r="F352">
        <v>168</v>
      </c>
      <c r="G352" s="34">
        <v>0.06</v>
      </c>
      <c r="H352" s="34">
        <v>0.02</v>
      </c>
    </row>
    <row r="353" spans="1:8" x14ac:dyDescent="0.25">
      <c r="A353" t="s">
        <v>393</v>
      </c>
      <c r="B353" t="s">
        <v>384</v>
      </c>
      <c r="C353">
        <v>570</v>
      </c>
      <c r="D353">
        <v>5187</v>
      </c>
      <c r="E353">
        <v>3592</v>
      </c>
      <c r="F353">
        <v>176</v>
      </c>
      <c r="G353" s="34">
        <v>0.03</v>
      </c>
      <c r="H353" s="34">
        <v>0.03</v>
      </c>
    </row>
    <row r="354" spans="1:8" x14ac:dyDescent="0.25">
      <c r="A354" t="s">
        <v>394</v>
      </c>
      <c r="B354" t="s">
        <v>384</v>
      </c>
      <c r="C354">
        <v>510</v>
      </c>
      <c r="D354">
        <v>3026</v>
      </c>
      <c r="E354">
        <v>2486</v>
      </c>
      <c r="F354">
        <v>474</v>
      </c>
      <c r="G354" s="34">
        <v>0.16</v>
      </c>
      <c r="H354" s="34">
        <v>0.02</v>
      </c>
    </row>
    <row r="355" spans="1:8" x14ac:dyDescent="0.25">
      <c r="A355" t="s">
        <v>623</v>
      </c>
      <c r="B355" t="s">
        <v>384</v>
      </c>
      <c r="C355">
        <v>219</v>
      </c>
      <c r="D355">
        <v>523</v>
      </c>
      <c r="E355">
        <v>415</v>
      </c>
      <c r="F355">
        <v>106</v>
      </c>
      <c r="G355" s="34">
        <v>0.2</v>
      </c>
      <c r="H355" s="34">
        <v>0.02</v>
      </c>
    </row>
    <row r="356" spans="1:8" x14ac:dyDescent="0.25">
      <c r="A356" t="s">
        <v>625</v>
      </c>
      <c r="B356" t="s">
        <v>384</v>
      </c>
      <c r="C356">
        <v>18</v>
      </c>
      <c r="D356">
        <v>189</v>
      </c>
      <c r="E356">
        <v>71</v>
      </c>
      <c r="F356">
        <v>72</v>
      </c>
      <c r="G356" s="34">
        <v>0.38</v>
      </c>
      <c r="H356" s="34">
        <v>1.24</v>
      </c>
    </row>
    <row r="357" spans="1:8" x14ac:dyDescent="0.25">
      <c r="A357" t="s">
        <v>355</v>
      </c>
      <c r="B357" t="s">
        <v>384</v>
      </c>
      <c r="C357">
        <v>16</v>
      </c>
      <c r="D357">
        <v>58</v>
      </c>
      <c r="E357">
        <v>29</v>
      </c>
      <c r="F357">
        <v>29</v>
      </c>
      <c r="G357" s="34">
        <v>0.5</v>
      </c>
      <c r="H357" s="34">
        <v>0.48</v>
      </c>
    </row>
  </sheetData>
  <sortState xmlns:xlrd2="http://schemas.microsoft.com/office/spreadsheetml/2017/richdata2" ref="C361:C375">
    <sortCondition ref="C361:C37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209EC-E1A0-426A-8FE1-1BA3D9E7C46C}">
  <dimension ref="A1:U94"/>
  <sheetViews>
    <sheetView tabSelected="1" zoomScaleNormal="100" workbookViewId="0">
      <selection activeCell="F3" sqref="F3:G83"/>
    </sheetView>
  </sheetViews>
  <sheetFormatPr defaultRowHeight="15" x14ac:dyDescent="0.25"/>
  <cols>
    <col min="1" max="1" width="29.5703125" bestFit="1" customWidth="1"/>
    <col min="2" max="2" width="11.42578125"/>
    <col min="3" max="4" width="10.85546875" customWidth="1"/>
    <col min="5" max="5" width="11.140625" bestFit="1" customWidth="1"/>
    <col min="6" max="6" width="8.5703125" bestFit="1" customWidth="1"/>
    <col min="7" max="7" width="8" bestFit="1" customWidth="1"/>
    <col min="8" max="8" width="12.140625" bestFit="1" customWidth="1"/>
    <col min="9" max="11" width="10.85546875" customWidth="1"/>
    <col min="12" max="16" width="11.42578125"/>
    <col min="17" max="17" width="6.7109375" bestFit="1" customWidth="1"/>
    <col min="18" max="21" width="10" bestFit="1" customWidth="1"/>
  </cols>
  <sheetData>
    <row r="1" spans="1:14" x14ac:dyDescent="0.25">
      <c r="A1" s="1"/>
      <c r="B1" s="1"/>
      <c r="C1" s="37" t="s">
        <v>370</v>
      </c>
      <c r="D1" s="38"/>
      <c r="E1" s="39"/>
      <c r="F1" s="38" t="s">
        <v>371</v>
      </c>
      <c r="G1" s="38"/>
      <c r="H1" s="39"/>
      <c r="I1" s="38" t="s">
        <v>372</v>
      </c>
      <c r="J1" s="38"/>
      <c r="K1" s="39"/>
      <c r="L1" s="38" t="s">
        <v>373</v>
      </c>
      <c r="M1" s="38"/>
      <c r="N1" s="39"/>
    </row>
    <row r="2" spans="1:14" x14ac:dyDescent="0.2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1" t="s">
        <v>3</v>
      </c>
      <c r="G2" s="1" t="s">
        <v>4</v>
      </c>
      <c r="H2" s="2" t="s">
        <v>5</v>
      </c>
      <c r="I2" s="1" t="s">
        <v>3</v>
      </c>
      <c r="J2" s="1" t="s">
        <v>4</v>
      </c>
      <c r="K2" s="2" t="s">
        <v>5</v>
      </c>
      <c r="L2" s="1" t="s">
        <v>3</v>
      </c>
      <c r="M2" s="1" t="s">
        <v>4</v>
      </c>
      <c r="N2" s="2" t="s">
        <v>5</v>
      </c>
    </row>
    <row r="3" spans="1:14" x14ac:dyDescent="0.25">
      <c r="A3" t="s">
        <v>15</v>
      </c>
      <c r="B3">
        <f>MIN(F3,I3,L3,C3)</f>
        <v>400</v>
      </c>
      <c r="C3">
        <v>400</v>
      </c>
      <c r="D3">
        <v>301.15100000000001</v>
      </c>
      <c r="E3" s="4">
        <f t="shared" ref="E3:E66" si="0">(C3-$B3)/(1+$B3)</f>
        <v>0</v>
      </c>
      <c r="F3">
        <v>400</v>
      </c>
      <c r="G3">
        <v>20.332000000000001</v>
      </c>
      <c r="H3" s="4">
        <f t="shared" ref="H3:H66" si="1">(F3-$B3)/(1+$B3)</f>
        <v>0</v>
      </c>
      <c r="I3">
        <v>411</v>
      </c>
      <c r="J3">
        <v>75.411000000000001</v>
      </c>
      <c r="K3" s="4">
        <f t="shared" ref="K3:K66" si="2">(I3-$B3)/(1+$B3)</f>
        <v>2.7431421446384038E-2</v>
      </c>
      <c r="L3">
        <v>400</v>
      </c>
      <c r="M3">
        <v>43.725000000000001</v>
      </c>
      <c r="N3" s="4">
        <f t="shared" ref="N3:N66" si="3">(L3-$B3)/(1+$B3)</f>
        <v>0</v>
      </c>
    </row>
    <row r="4" spans="1:14" x14ac:dyDescent="0.25">
      <c r="A4" t="s">
        <v>16</v>
      </c>
      <c r="B4">
        <f t="shared" ref="B4:B67" si="4">MIN(F4,I4,L4,C4)</f>
        <v>820</v>
      </c>
      <c r="C4">
        <v>820</v>
      </c>
      <c r="D4">
        <v>301.072</v>
      </c>
      <c r="E4" s="4">
        <f t="shared" si="0"/>
        <v>0</v>
      </c>
      <c r="F4">
        <v>820</v>
      </c>
      <c r="G4">
        <v>20.521999999999998</v>
      </c>
      <c r="H4" s="4">
        <f t="shared" si="1"/>
        <v>0</v>
      </c>
      <c r="I4">
        <v>835</v>
      </c>
      <c r="J4">
        <v>119.485</v>
      </c>
      <c r="K4" s="4">
        <f t="shared" si="2"/>
        <v>1.8270401948842874E-2</v>
      </c>
      <c r="L4">
        <v>820</v>
      </c>
      <c r="M4">
        <v>53.872</v>
      </c>
      <c r="N4" s="4">
        <f t="shared" si="3"/>
        <v>0</v>
      </c>
    </row>
    <row r="5" spans="1:14" x14ac:dyDescent="0.25">
      <c r="A5" t="s">
        <v>17</v>
      </c>
      <c r="B5">
        <f t="shared" si="4"/>
        <v>464</v>
      </c>
      <c r="C5">
        <v>464</v>
      </c>
      <c r="D5">
        <v>301.06599999999997</v>
      </c>
      <c r="E5" s="4">
        <f t="shared" si="0"/>
        <v>0</v>
      </c>
      <c r="F5">
        <v>464</v>
      </c>
      <c r="G5">
        <v>16.199000000000002</v>
      </c>
      <c r="H5" s="4">
        <f t="shared" si="1"/>
        <v>0</v>
      </c>
      <c r="I5">
        <v>479</v>
      </c>
      <c r="J5">
        <v>262.24400000000003</v>
      </c>
      <c r="K5" s="4">
        <f t="shared" si="2"/>
        <v>3.2258064516129031E-2</v>
      </c>
      <c r="L5">
        <v>464</v>
      </c>
      <c r="M5">
        <v>44.317</v>
      </c>
      <c r="N5" s="4">
        <f t="shared" si="3"/>
        <v>0</v>
      </c>
    </row>
    <row r="6" spans="1:14" x14ac:dyDescent="0.25">
      <c r="A6" t="s">
        <v>18</v>
      </c>
      <c r="B6">
        <f t="shared" si="4"/>
        <v>399</v>
      </c>
      <c r="C6">
        <v>399</v>
      </c>
      <c r="D6">
        <v>301.161</v>
      </c>
      <c r="E6" s="4">
        <f t="shared" si="0"/>
        <v>0</v>
      </c>
      <c r="F6">
        <v>399</v>
      </c>
      <c r="G6">
        <v>32.99</v>
      </c>
      <c r="H6" s="4">
        <f t="shared" si="1"/>
        <v>0</v>
      </c>
      <c r="I6">
        <v>400</v>
      </c>
      <c r="J6">
        <v>92.082999999999998</v>
      </c>
      <c r="K6" s="4">
        <f t="shared" si="2"/>
        <v>2.5000000000000001E-3</v>
      </c>
      <c r="L6">
        <v>400</v>
      </c>
      <c r="M6">
        <v>59.353999999999999</v>
      </c>
      <c r="N6" s="4">
        <f t="shared" si="3"/>
        <v>2.5000000000000001E-3</v>
      </c>
    </row>
    <row r="7" spans="1:14" x14ac:dyDescent="0.25">
      <c r="A7" t="s">
        <v>19</v>
      </c>
      <c r="B7">
        <f t="shared" si="4"/>
        <v>768</v>
      </c>
      <c r="C7">
        <v>768</v>
      </c>
      <c r="D7">
        <v>301.03199999999998</v>
      </c>
      <c r="E7" s="4">
        <f t="shared" si="0"/>
        <v>0</v>
      </c>
      <c r="F7">
        <v>768</v>
      </c>
      <c r="G7">
        <v>16.544</v>
      </c>
      <c r="H7" s="4">
        <f t="shared" si="1"/>
        <v>0</v>
      </c>
      <c r="I7">
        <v>768</v>
      </c>
      <c r="J7">
        <v>108.621</v>
      </c>
      <c r="K7" s="4">
        <f t="shared" si="2"/>
        <v>0</v>
      </c>
      <c r="L7">
        <v>768</v>
      </c>
      <c r="M7">
        <v>34.851999999999997</v>
      </c>
      <c r="N7" s="4">
        <f t="shared" si="3"/>
        <v>0</v>
      </c>
    </row>
    <row r="8" spans="1:14" x14ac:dyDescent="0.25">
      <c r="A8" t="s">
        <v>20</v>
      </c>
      <c r="B8">
        <f t="shared" si="4"/>
        <v>386</v>
      </c>
      <c r="C8">
        <v>386</v>
      </c>
      <c r="D8">
        <v>301.10500000000002</v>
      </c>
      <c r="E8" s="4">
        <f t="shared" si="0"/>
        <v>0</v>
      </c>
      <c r="F8">
        <v>386</v>
      </c>
      <c r="G8">
        <v>8.5210000000000008</v>
      </c>
      <c r="H8" s="4">
        <f t="shared" si="1"/>
        <v>0</v>
      </c>
      <c r="I8">
        <v>388</v>
      </c>
      <c r="J8">
        <v>233.05</v>
      </c>
      <c r="K8" s="4">
        <f t="shared" si="2"/>
        <v>5.1679586563307496E-3</v>
      </c>
      <c r="L8">
        <v>386</v>
      </c>
      <c r="M8">
        <v>30.69</v>
      </c>
      <c r="N8" s="4">
        <f t="shared" si="3"/>
        <v>0</v>
      </c>
    </row>
    <row r="9" spans="1:14" x14ac:dyDescent="0.25">
      <c r="A9" t="s">
        <v>21</v>
      </c>
      <c r="B9">
        <f t="shared" si="4"/>
        <v>388</v>
      </c>
      <c r="C9">
        <v>388</v>
      </c>
      <c r="D9">
        <v>301.03199999999998</v>
      </c>
      <c r="E9" s="4">
        <f t="shared" si="0"/>
        <v>0</v>
      </c>
      <c r="F9">
        <v>388</v>
      </c>
      <c r="G9">
        <v>23.574999999999999</v>
      </c>
      <c r="H9" s="4">
        <f t="shared" si="1"/>
        <v>0</v>
      </c>
      <c r="I9">
        <v>389</v>
      </c>
      <c r="J9">
        <v>57.167999999999999</v>
      </c>
      <c r="K9" s="4">
        <f t="shared" si="2"/>
        <v>2.5706940874035988E-3</v>
      </c>
      <c r="L9">
        <v>388</v>
      </c>
      <c r="M9">
        <v>40.584000000000003</v>
      </c>
      <c r="N9" s="4">
        <f t="shared" si="3"/>
        <v>0</v>
      </c>
    </row>
    <row r="10" spans="1:14" x14ac:dyDescent="0.25">
      <c r="A10" t="s">
        <v>22</v>
      </c>
      <c r="B10">
        <f t="shared" si="4"/>
        <v>755</v>
      </c>
      <c r="C10">
        <v>755</v>
      </c>
      <c r="D10">
        <v>301.15699999999998</v>
      </c>
      <c r="E10" s="4">
        <f t="shared" si="0"/>
        <v>0</v>
      </c>
      <c r="F10">
        <v>755</v>
      </c>
      <c r="G10">
        <v>14.988</v>
      </c>
      <c r="H10" s="4">
        <f t="shared" si="1"/>
        <v>0</v>
      </c>
      <c r="I10">
        <v>755</v>
      </c>
      <c r="J10">
        <v>121.18600000000001</v>
      </c>
      <c r="K10" s="4">
        <f t="shared" si="2"/>
        <v>0</v>
      </c>
      <c r="L10">
        <v>755</v>
      </c>
      <c r="M10">
        <v>46.482999999999997</v>
      </c>
      <c r="N10" s="4">
        <f t="shared" si="3"/>
        <v>0</v>
      </c>
    </row>
    <row r="11" spans="1:14" x14ac:dyDescent="0.25">
      <c r="A11" t="s">
        <v>23</v>
      </c>
      <c r="B11">
        <f t="shared" si="4"/>
        <v>406</v>
      </c>
      <c r="C11">
        <v>406</v>
      </c>
      <c r="D11">
        <v>301.005</v>
      </c>
      <c r="E11" s="4">
        <f t="shared" si="0"/>
        <v>0</v>
      </c>
      <c r="F11">
        <v>406</v>
      </c>
      <c r="G11">
        <v>7.6429999999999998</v>
      </c>
      <c r="H11" s="4">
        <f t="shared" si="1"/>
        <v>0</v>
      </c>
      <c r="I11">
        <v>412</v>
      </c>
      <c r="J11">
        <v>272.76499999999999</v>
      </c>
      <c r="K11" s="4">
        <f t="shared" si="2"/>
        <v>1.4742014742014743E-2</v>
      </c>
      <c r="L11">
        <v>406</v>
      </c>
      <c r="M11">
        <v>32.83</v>
      </c>
      <c r="N11" s="4">
        <f t="shared" si="3"/>
        <v>0</v>
      </c>
    </row>
    <row r="12" spans="1:14" x14ac:dyDescent="0.25">
      <c r="A12" t="s">
        <v>51</v>
      </c>
      <c r="B12">
        <f t="shared" si="4"/>
        <v>34069</v>
      </c>
      <c r="C12">
        <v>34261</v>
      </c>
      <c r="D12">
        <v>324.44600000000003</v>
      </c>
      <c r="E12" s="4">
        <f t="shared" si="0"/>
        <v>5.6354564132668032E-3</v>
      </c>
      <c r="F12">
        <v>34069</v>
      </c>
      <c r="G12">
        <v>304.38099999999997</v>
      </c>
      <c r="H12" s="4">
        <f t="shared" si="1"/>
        <v>0</v>
      </c>
      <c r="I12">
        <v>34502</v>
      </c>
      <c r="J12">
        <v>307.40199999999999</v>
      </c>
      <c r="K12" s="4">
        <f t="shared" si="2"/>
        <v>1.2709128265336073E-2</v>
      </c>
      <c r="L12">
        <v>34447</v>
      </c>
      <c r="M12">
        <v>301.041</v>
      </c>
      <c r="N12" s="4">
        <f t="shared" si="3"/>
        <v>1.1094804813619019E-2</v>
      </c>
    </row>
    <row r="13" spans="1:14" x14ac:dyDescent="0.25">
      <c r="A13" t="s">
        <v>52</v>
      </c>
      <c r="B13">
        <f t="shared" si="4"/>
        <v>59509</v>
      </c>
      <c r="C13">
        <v>59509</v>
      </c>
      <c r="D13">
        <v>302.26499999999999</v>
      </c>
      <c r="E13" s="4">
        <f t="shared" si="0"/>
        <v>0</v>
      </c>
      <c r="F13">
        <v>60646</v>
      </c>
      <c r="G13">
        <v>303.62200000000001</v>
      </c>
      <c r="H13" s="4">
        <f t="shared" si="1"/>
        <v>1.9106032599563099E-2</v>
      </c>
      <c r="I13">
        <v>60010</v>
      </c>
      <c r="J13">
        <v>306.03100000000001</v>
      </c>
      <c r="K13" s="4">
        <f t="shared" si="2"/>
        <v>8.4187531507309704E-3</v>
      </c>
      <c r="L13">
        <v>59966</v>
      </c>
      <c r="M13">
        <v>303.35399999999998</v>
      </c>
      <c r="N13" s="4">
        <f t="shared" si="3"/>
        <v>7.6793816165350364E-3</v>
      </c>
    </row>
    <row r="14" spans="1:14" x14ac:dyDescent="0.25">
      <c r="A14" t="s">
        <v>53</v>
      </c>
      <c r="B14">
        <f t="shared" si="4"/>
        <v>36215</v>
      </c>
      <c r="C14">
        <v>36318</v>
      </c>
      <c r="D14">
        <v>323.51100000000002</v>
      </c>
      <c r="E14" s="4">
        <f t="shared" si="0"/>
        <v>2.8440468301303293E-3</v>
      </c>
      <c r="F14">
        <v>36215</v>
      </c>
      <c r="G14">
        <v>301.029</v>
      </c>
      <c r="H14" s="4">
        <f t="shared" si="1"/>
        <v>0</v>
      </c>
      <c r="I14">
        <v>36333</v>
      </c>
      <c r="J14">
        <v>361.64</v>
      </c>
      <c r="K14" s="4">
        <f t="shared" si="2"/>
        <v>3.2582284073337749E-3</v>
      </c>
      <c r="L14">
        <v>36397</v>
      </c>
      <c r="M14">
        <v>309.37700000000001</v>
      </c>
      <c r="N14" s="4">
        <f t="shared" si="3"/>
        <v>5.0254031367351444E-3</v>
      </c>
    </row>
    <row r="15" spans="1:14" x14ac:dyDescent="0.25">
      <c r="A15" t="s">
        <v>54</v>
      </c>
      <c r="B15">
        <f t="shared" si="4"/>
        <v>33514</v>
      </c>
      <c r="C15">
        <v>33982</v>
      </c>
      <c r="D15">
        <v>321.02999999999997</v>
      </c>
      <c r="E15" s="4">
        <f t="shared" si="0"/>
        <v>1.3963896762643592E-2</v>
      </c>
      <c r="F15">
        <v>33544</v>
      </c>
      <c r="G15">
        <v>303.584</v>
      </c>
      <c r="H15" s="4">
        <f t="shared" si="1"/>
        <v>8.9512158734894826E-4</v>
      </c>
      <c r="I15">
        <v>34094</v>
      </c>
      <c r="J15">
        <v>306.286</v>
      </c>
      <c r="K15" s="4">
        <f t="shared" si="2"/>
        <v>1.7305684022079666E-2</v>
      </c>
      <c r="L15">
        <v>33514</v>
      </c>
      <c r="M15">
        <v>309.54500000000002</v>
      </c>
      <c r="N15" s="4">
        <f t="shared" si="3"/>
        <v>0</v>
      </c>
    </row>
    <row r="16" spans="1:14" x14ac:dyDescent="0.25">
      <c r="A16" t="s">
        <v>55</v>
      </c>
      <c r="B16">
        <f t="shared" si="4"/>
        <v>59784</v>
      </c>
      <c r="C16">
        <v>59784</v>
      </c>
      <c r="D16">
        <v>304.81799999999998</v>
      </c>
      <c r="E16" s="4">
        <f t="shared" si="0"/>
        <v>0</v>
      </c>
      <c r="F16">
        <v>60104</v>
      </c>
      <c r="G16">
        <v>301.82900000000001</v>
      </c>
      <c r="H16" s="4">
        <f t="shared" si="1"/>
        <v>5.3525131722003847E-3</v>
      </c>
      <c r="I16">
        <v>59985</v>
      </c>
      <c r="J16">
        <v>302.14400000000001</v>
      </c>
      <c r="K16" s="4">
        <f t="shared" si="2"/>
        <v>3.3620473362883665E-3</v>
      </c>
      <c r="L16">
        <v>59784</v>
      </c>
      <c r="M16">
        <v>301.19799999999998</v>
      </c>
      <c r="N16" s="4">
        <f t="shared" si="3"/>
        <v>0</v>
      </c>
    </row>
    <row r="17" spans="1:21" x14ac:dyDescent="0.25">
      <c r="A17" t="s">
        <v>56</v>
      </c>
      <c r="B17">
        <f t="shared" si="4"/>
        <v>34320</v>
      </c>
      <c r="C17">
        <v>34320</v>
      </c>
      <c r="D17">
        <v>301.66199999999998</v>
      </c>
      <c r="E17" s="4">
        <f t="shared" si="0"/>
        <v>0</v>
      </c>
      <c r="F17">
        <v>34400</v>
      </c>
      <c r="G17">
        <v>301.46699999999998</v>
      </c>
      <c r="H17" s="4">
        <f t="shared" si="1"/>
        <v>2.3309344133329449E-3</v>
      </c>
      <c r="I17">
        <v>34615</v>
      </c>
      <c r="J17">
        <v>386.64699999999999</v>
      </c>
      <c r="K17" s="4">
        <f t="shared" si="2"/>
        <v>8.5953206491652338E-3</v>
      </c>
      <c r="L17">
        <v>34740</v>
      </c>
      <c r="M17">
        <v>302.53100000000001</v>
      </c>
      <c r="N17" s="4">
        <f t="shared" si="3"/>
        <v>1.223740566999796E-2</v>
      </c>
    </row>
    <row r="18" spans="1:21" x14ac:dyDescent="0.25">
      <c r="A18" t="s">
        <v>57</v>
      </c>
      <c r="B18">
        <f t="shared" si="4"/>
        <v>35047</v>
      </c>
      <c r="C18">
        <v>35302</v>
      </c>
      <c r="D18">
        <v>311.21300000000002</v>
      </c>
      <c r="E18" s="4">
        <f t="shared" si="0"/>
        <v>7.2757361333028988E-3</v>
      </c>
      <c r="F18">
        <v>35047</v>
      </c>
      <c r="G18">
        <v>303.90699999999998</v>
      </c>
      <c r="H18" s="4">
        <f t="shared" si="1"/>
        <v>0</v>
      </c>
      <c r="I18">
        <v>35696</v>
      </c>
      <c r="J18">
        <v>305.87599999999998</v>
      </c>
      <c r="K18" s="4">
        <f t="shared" si="2"/>
        <v>1.8517461766719926E-2</v>
      </c>
      <c r="L18">
        <v>35312</v>
      </c>
      <c r="M18">
        <v>301.28699999999998</v>
      </c>
      <c r="N18" s="4">
        <f t="shared" si="3"/>
        <v>7.5610591189226202E-3</v>
      </c>
    </row>
    <row r="19" spans="1:21" x14ac:dyDescent="0.25">
      <c r="A19" t="s">
        <v>58</v>
      </c>
      <c r="B19">
        <f t="shared" si="4"/>
        <v>59467</v>
      </c>
      <c r="C19">
        <v>59467</v>
      </c>
      <c r="D19">
        <v>314.46499999999997</v>
      </c>
      <c r="E19" s="4">
        <f t="shared" si="0"/>
        <v>0</v>
      </c>
      <c r="F19">
        <v>59727</v>
      </c>
      <c r="G19">
        <v>301.81</v>
      </c>
      <c r="H19" s="4">
        <f t="shared" si="1"/>
        <v>4.3720992802851952E-3</v>
      </c>
      <c r="I19">
        <v>60358</v>
      </c>
      <c r="J19">
        <v>302.875</v>
      </c>
      <c r="K19" s="4">
        <f t="shared" si="2"/>
        <v>1.4982847918208113E-2</v>
      </c>
      <c r="L19">
        <v>59541</v>
      </c>
      <c r="M19">
        <v>304.69499999999999</v>
      </c>
      <c r="N19" s="4">
        <f t="shared" si="3"/>
        <v>1.2443667182350173E-3</v>
      </c>
    </row>
    <row r="20" spans="1:21" x14ac:dyDescent="0.25">
      <c r="A20" t="s">
        <v>59</v>
      </c>
      <c r="B20">
        <f t="shared" si="4"/>
        <v>34871</v>
      </c>
      <c r="C20">
        <v>34871</v>
      </c>
      <c r="D20">
        <v>301.29199999999997</v>
      </c>
      <c r="E20" s="4">
        <f t="shared" si="0"/>
        <v>0</v>
      </c>
      <c r="F20">
        <v>35116</v>
      </c>
      <c r="G20">
        <v>306.71899999999999</v>
      </c>
      <c r="H20" s="4">
        <f t="shared" si="1"/>
        <v>7.0256939665060796E-3</v>
      </c>
      <c r="I20">
        <v>35534</v>
      </c>
      <c r="J20">
        <v>367.654</v>
      </c>
      <c r="K20" s="4">
        <f t="shared" si="2"/>
        <v>1.9012388162422574E-2</v>
      </c>
      <c r="L20">
        <v>34871</v>
      </c>
      <c r="M20">
        <v>301.34199999999998</v>
      </c>
      <c r="N20" s="4">
        <f t="shared" si="3"/>
        <v>0</v>
      </c>
    </row>
    <row r="21" spans="1:21" x14ac:dyDescent="0.25">
      <c r="A21" t="s">
        <v>105</v>
      </c>
      <c r="B21">
        <f t="shared" si="4"/>
        <v>382186</v>
      </c>
      <c r="C21">
        <v>383774</v>
      </c>
      <c r="D21">
        <v>309.911</v>
      </c>
      <c r="E21" s="4">
        <f t="shared" si="0"/>
        <v>4.1550340540102097E-3</v>
      </c>
      <c r="F21">
        <v>382186</v>
      </c>
      <c r="G21">
        <v>304.36</v>
      </c>
      <c r="H21" s="4">
        <f t="shared" si="1"/>
        <v>0</v>
      </c>
      <c r="I21">
        <v>383651</v>
      </c>
      <c r="J21">
        <v>306.86799999999999</v>
      </c>
      <c r="K21" s="4">
        <f t="shared" si="2"/>
        <v>3.8332020712373784E-3</v>
      </c>
      <c r="L21">
        <v>384829</v>
      </c>
      <c r="M21">
        <v>302.08600000000001</v>
      </c>
      <c r="N21" s="4">
        <f t="shared" si="3"/>
        <v>6.9154628493381508E-3</v>
      </c>
    </row>
    <row r="22" spans="1:21" x14ac:dyDescent="0.25">
      <c r="A22" t="s">
        <v>106</v>
      </c>
      <c r="B22">
        <f t="shared" si="4"/>
        <v>620532</v>
      </c>
      <c r="C22">
        <v>623895</v>
      </c>
      <c r="D22">
        <v>322.69099999999997</v>
      </c>
      <c r="E22" s="4">
        <f t="shared" si="0"/>
        <v>5.4195344969566487E-3</v>
      </c>
      <c r="F22">
        <v>622464</v>
      </c>
      <c r="G22">
        <v>307.57600000000002</v>
      </c>
      <c r="H22" s="4">
        <f t="shared" si="1"/>
        <v>3.113452467475541E-3</v>
      </c>
      <c r="I22">
        <v>620532</v>
      </c>
      <c r="J22">
        <v>309.43099999999998</v>
      </c>
      <c r="K22" s="4">
        <f t="shared" si="2"/>
        <v>0</v>
      </c>
      <c r="L22">
        <v>626287</v>
      </c>
      <c r="M22">
        <v>301.26400000000001</v>
      </c>
      <c r="N22" s="4">
        <f t="shared" si="3"/>
        <v>9.2742851709739851E-3</v>
      </c>
    </row>
    <row r="23" spans="1:21" ht="15.75" thickBot="1" x14ac:dyDescent="0.3">
      <c r="A23" t="s">
        <v>107</v>
      </c>
      <c r="B23">
        <f t="shared" si="4"/>
        <v>371890</v>
      </c>
      <c r="C23">
        <v>371890</v>
      </c>
      <c r="D23">
        <v>320.37099999999998</v>
      </c>
      <c r="E23" s="4">
        <f t="shared" si="0"/>
        <v>0</v>
      </c>
      <c r="F23">
        <v>377868</v>
      </c>
      <c r="G23">
        <v>305.43</v>
      </c>
      <c r="H23" s="4">
        <f t="shared" si="1"/>
        <v>1.6074602504497285E-2</v>
      </c>
      <c r="I23">
        <v>375157</v>
      </c>
      <c r="J23">
        <v>302.58800000000002</v>
      </c>
      <c r="K23" s="4">
        <f t="shared" si="2"/>
        <v>8.7848321147863222E-3</v>
      </c>
      <c r="L23">
        <v>371922</v>
      </c>
      <c r="M23">
        <v>301.86599999999999</v>
      </c>
      <c r="N23" s="4">
        <f t="shared" si="3"/>
        <v>8.6046717989948673E-5</v>
      </c>
    </row>
    <row r="24" spans="1:21" ht="15.75" thickBot="1" x14ac:dyDescent="0.3">
      <c r="A24" t="s">
        <v>108</v>
      </c>
      <c r="B24">
        <f t="shared" si="4"/>
        <v>374877</v>
      </c>
      <c r="C24">
        <v>378700</v>
      </c>
      <c r="D24">
        <v>308.59500000000003</v>
      </c>
      <c r="E24" s="4">
        <f t="shared" si="0"/>
        <v>1.0197984410928356E-2</v>
      </c>
      <c r="F24">
        <v>374877</v>
      </c>
      <c r="G24">
        <v>303.80399999999997</v>
      </c>
      <c r="H24" s="4">
        <f t="shared" si="1"/>
        <v>0</v>
      </c>
      <c r="I24">
        <v>385882</v>
      </c>
      <c r="J24">
        <v>306.73099999999999</v>
      </c>
      <c r="K24" s="4">
        <f t="shared" si="2"/>
        <v>2.9356217222669775E-2</v>
      </c>
      <c r="L24">
        <v>379385</v>
      </c>
      <c r="M24">
        <v>302.54500000000002</v>
      </c>
      <c r="N24" s="4">
        <f t="shared" si="3"/>
        <v>1.2025245546551145E-2</v>
      </c>
      <c r="Q24" s="40" t="s">
        <v>109</v>
      </c>
      <c r="R24" s="41"/>
      <c r="S24" s="42"/>
      <c r="T24" s="19"/>
      <c r="U24" s="19"/>
    </row>
    <row r="25" spans="1:21" x14ac:dyDescent="0.25">
      <c r="A25" t="s">
        <v>110</v>
      </c>
      <c r="B25">
        <f t="shared" si="4"/>
        <v>619067</v>
      </c>
      <c r="C25">
        <v>622252</v>
      </c>
      <c r="D25">
        <v>325.48399999999998</v>
      </c>
      <c r="E25" s="4">
        <f t="shared" si="0"/>
        <v>5.1448306163458619E-3</v>
      </c>
      <c r="F25">
        <v>619067</v>
      </c>
      <c r="G25">
        <v>307.05599999999998</v>
      </c>
      <c r="H25" s="4">
        <f t="shared" si="1"/>
        <v>0</v>
      </c>
      <c r="I25">
        <v>623887</v>
      </c>
      <c r="J25">
        <v>313.548</v>
      </c>
      <c r="K25" s="4">
        <f t="shared" si="2"/>
        <v>7.7858975104511943E-3</v>
      </c>
      <c r="L25">
        <v>624124</v>
      </c>
      <c r="M25">
        <v>301.12</v>
      </c>
      <c r="N25" s="4">
        <f t="shared" si="3"/>
        <v>8.1687310602389391E-3</v>
      </c>
      <c r="Q25" s="6"/>
      <c r="R25" s="32" t="str">
        <f>$C$1</f>
        <v>MAB</v>
      </c>
      <c r="S25" s="8" t="str">
        <f>$F$1</f>
        <v>Cliques</v>
      </c>
      <c r="T25" s="8" t="str">
        <f>$I$1</f>
        <v>Louvain</v>
      </c>
      <c r="U25" s="8" t="str">
        <f>$L$1</f>
        <v>Mcallister</v>
      </c>
    </row>
    <row r="26" spans="1:21" x14ac:dyDescent="0.25">
      <c r="A26" t="s">
        <v>111</v>
      </c>
      <c r="B26">
        <f t="shared" si="4"/>
        <v>371868</v>
      </c>
      <c r="C26">
        <v>372299</v>
      </c>
      <c r="D26">
        <v>303.96600000000001</v>
      </c>
      <c r="E26" s="4">
        <f t="shared" si="0"/>
        <v>1.1590102966367189E-3</v>
      </c>
      <c r="F26">
        <v>375686</v>
      </c>
      <c r="G26">
        <v>302.61500000000001</v>
      </c>
      <c r="H26" s="4">
        <f t="shared" si="1"/>
        <v>1.0267056409649635E-2</v>
      </c>
      <c r="I26">
        <v>371868</v>
      </c>
      <c r="J26">
        <v>301.48099999999999</v>
      </c>
      <c r="K26" s="4">
        <f t="shared" si="2"/>
        <v>0</v>
      </c>
      <c r="L26">
        <v>372482</v>
      </c>
      <c r="M26">
        <v>301.517</v>
      </c>
      <c r="N26" s="4">
        <f t="shared" si="3"/>
        <v>1.6511190768792236E-3</v>
      </c>
      <c r="Q26" s="9" t="s">
        <v>3</v>
      </c>
      <c r="R26" s="11">
        <f>AVERAGE(C3:C29)</f>
        <v>166858.55555555556</v>
      </c>
      <c r="S26" s="11">
        <f>AVERAGE(F3:F29)</f>
        <v>166940.96296296295</v>
      </c>
      <c r="T26" s="11">
        <f>AVERAGE(I3:I29)</f>
        <v>167550.74074074073</v>
      </c>
      <c r="U26" s="11">
        <f>AVERAGE(L3:L29)</f>
        <v>167202.33333333334</v>
      </c>
    </row>
    <row r="27" spans="1:21" x14ac:dyDescent="0.25">
      <c r="A27" t="s">
        <v>112</v>
      </c>
      <c r="B27">
        <f t="shared" si="4"/>
        <v>372148</v>
      </c>
      <c r="C27">
        <v>372148</v>
      </c>
      <c r="D27">
        <v>308.25700000000001</v>
      </c>
      <c r="E27" s="4">
        <f t="shared" si="0"/>
        <v>0</v>
      </c>
      <c r="F27">
        <v>376049</v>
      </c>
      <c r="G27">
        <v>306.64499999999998</v>
      </c>
      <c r="H27" s="4">
        <f t="shared" si="1"/>
        <v>1.0482360559883273E-2</v>
      </c>
      <c r="I27">
        <v>372765</v>
      </c>
      <c r="J27">
        <v>307.036</v>
      </c>
      <c r="K27" s="4">
        <f t="shared" si="2"/>
        <v>1.6579380839394974E-3</v>
      </c>
      <c r="L27">
        <v>372576</v>
      </c>
      <c r="M27">
        <v>303.375</v>
      </c>
      <c r="N27" s="4">
        <f t="shared" si="3"/>
        <v>1.1500769852935248E-3</v>
      </c>
      <c r="Q27" s="9" t="s">
        <v>4</v>
      </c>
      <c r="R27" s="11">
        <f>AVERAGE(D3:D29)</f>
        <v>309.44170370370375</v>
      </c>
      <c r="S27" s="11">
        <f>AVERAGE(G3:G29)</f>
        <v>208.7326296296296</v>
      </c>
      <c r="T27" s="11">
        <f>AVERAGE(J3:J29)</f>
        <v>261.02588888888886</v>
      </c>
      <c r="U27" s="11">
        <f>AVERAGE(M3:M29)</f>
        <v>216.2002962962963</v>
      </c>
    </row>
    <row r="28" spans="1:21" x14ac:dyDescent="0.25">
      <c r="A28" t="s">
        <v>113</v>
      </c>
      <c r="B28">
        <f t="shared" si="4"/>
        <v>616490</v>
      </c>
      <c r="C28">
        <v>617978</v>
      </c>
      <c r="D28">
        <v>322.32100000000003</v>
      </c>
      <c r="E28" s="4">
        <f t="shared" si="0"/>
        <v>2.4136605400565457E-3</v>
      </c>
      <c r="F28">
        <v>616490</v>
      </c>
      <c r="G28">
        <v>306.58300000000003</v>
      </c>
      <c r="H28" s="4">
        <f t="shared" si="1"/>
        <v>0</v>
      </c>
      <c r="I28">
        <v>619349</v>
      </c>
      <c r="J28">
        <v>309.50400000000002</v>
      </c>
      <c r="K28" s="4">
        <f t="shared" si="2"/>
        <v>4.6375372876489677E-3</v>
      </c>
      <c r="L28">
        <v>619583</v>
      </c>
      <c r="M28">
        <v>301.25799999999998</v>
      </c>
      <c r="N28" s="4">
        <f t="shared" si="3"/>
        <v>5.017104872577215E-3</v>
      </c>
      <c r="Q28" s="12" t="s">
        <v>5</v>
      </c>
      <c r="R28" s="44">
        <f>AVERAGE(E3:E29)</f>
        <v>2.2141009327755639E-3</v>
      </c>
      <c r="S28" s="44">
        <f>AVERAGE(H3:H29)</f>
        <v>2.9266617392867556E-3</v>
      </c>
      <c r="T28" s="44">
        <f>AVERAGE(K3:K29)</f>
        <v>1.0397700316644908E-2</v>
      </c>
      <c r="U28" s="44">
        <f>AVERAGE(N3:N29)</f>
        <v>3.4791227404819929E-3</v>
      </c>
    </row>
    <row r="29" spans="1:21" ht="15.75" thickBot="1" x14ac:dyDescent="0.3">
      <c r="A29" s="27" t="s">
        <v>114</v>
      </c>
      <c r="B29">
        <f t="shared" si="4"/>
        <v>369065</v>
      </c>
      <c r="C29">
        <v>369645</v>
      </c>
      <c r="D29">
        <v>318.84699999999998</v>
      </c>
      <c r="E29" s="13">
        <f t="shared" si="0"/>
        <v>1.5715346306622664E-3</v>
      </c>
      <c r="F29">
        <v>369065</v>
      </c>
      <c r="G29">
        <v>302.05</v>
      </c>
      <c r="H29" s="13">
        <f t="shared" si="1"/>
        <v>0</v>
      </c>
      <c r="I29">
        <v>374815</v>
      </c>
      <c r="J29">
        <v>301.94400000000002</v>
      </c>
      <c r="K29" s="13">
        <f t="shared" si="2"/>
        <v>1.5579869183289709E-2</v>
      </c>
      <c r="L29">
        <v>369916</v>
      </c>
      <c r="M29">
        <v>301.3</v>
      </c>
      <c r="N29" s="13">
        <f t="shared" si="3"/>
        <v>2.3058206391268769E-3</v>
      </c>
      <c r="O29" s="27"/>
      <c r="P29" s="14"/>
      <c r="Q29" s="15" t="s">
        <v>115</v>
      </c>
      <c r="R29" s="17">
        <f>COUNTIF(E3:E29,"=0")</f>
        <v>16</v>
      </c>
      <c r="S29" s="17">
        <f>COUNTIF(H3:H29,"=0")</f>
        <v>17</v>
      </c>
      <c r="T29" s="17">
        <f>COUNTIF(K3:K29,"=0")</f>
        <v>4</v>
      </c>
      <c r="U29" s="17">
        <f>COUNTIF(N3:N29,"=0")</f>
        <v>11</v>
      </c>
    </row>
    <row r="30" spans="1:21" x14ac:dyDescent="0.25">
      <c r="A30" t="s">
        <v>125</v>
      </c>
      <c r="B30">
        <f t="shared" si="4"/>
        <v>0</v>
      </c>
      <c r="C30">
        <v>0</v>
      </c>
      <c r="D30">
        <v>9.1999999999999998E-2</v>
      </c>
      <c r="E30" s="4">
        <f t="shared" si="0"/>
        <v>0</v>
      </c>
      <c r="F30">
        <v>0</v>
      </c>
      <c r="G30">
        <v>8.9999999999999993E-3</v>
      </c>
      <c r="H30" s="4">
        <f t="shared" si="1"/>
        <v>0</v>
      </c>
      <c r="I30">
        <v>0</v>
      </c>
      <c r="J30">
        <v>2.984</v>
      </c>
      <c r="K30" s="4">
        <f t="shared" si="2"/>
        <v>0</v>
      </c>
      <c r="L30">
        <v>0</v>
      </c>
      <c r="M30">
        <v>1.423</v>
      </c>
      <c r="N30" s="4">
        <f t="shared" si="3"/>
        <v>0</v>
      </c>
    </row>
    <row r="31" spans="1:21" x14ac:dyDescent="0.25">
      <c r="A31" t="s">
        <v>126</v>
      </c>
      <c r="B31">
        <f t="shared" si="4"/>
        <v>0</v>
      </c>
      <c r="C31">
        <v>0</v>
      </c>
      <c r="D31">
        <v>9.0999999999999998E-2</v>
      </c>
      <c r="E31" s="4">
        <f t="shared" si="0"/>
        <v>0</v>
      </c>
      <c r="F31">
        <v>0</v>
      </c>
      <c r="G31">
        <v>8.9999999999999993E-3</v>
      </c>
      <c r="H31" s="4">
        <f t="shared" si="1"/>
        <v>0</v>
      </c>
      <c r="I31">
        <v>0</v>
      </c>
      <c r="J31">
        <v>1.0999999999999999E-2</v>
      </c>
      <c r="K31" s="4">
        <f t="shared" si="2"/>
        <v>0</v>
      </c>
      <c r="L31">
        <v>0</v>
      </c>
      <c r="M31">
        <v>2.306</v>
      </c>
      <c r="N31" s="4">
        <f t="shared" si="3"/>
        <v>0</v>
      </c>
    </row>
    <row r="32" spans="1:21" x14ac:dyDescent="0.25">
      <c r="A32" t="s">
        <v>127</v>
      </c>
      <c r="B32">
        <f t="shared" si="4"/>
        <v>0</v>
      </c>
      <c r="C32">
        <v>0</v>
      </c>
      <c r="D32">
        <v>8.2000000000000003E-2</v>
      </c>
      <c r="E32" s="4">
        <f t="shared" si="0"/>
        <v>0</v>
      </c>
      <c r="F32">
        <v>0</v>
      </c>
      <c r="G32">
        <v>1.363</v>
      </c>
      <c r="H32" s="4">
        <f t="shared" si="1"/>
        <v>0</v>
      </c>
      <c r="I32">
        <v>0</v>
      </c>
      <c r="J32">
        <v>1.911</v>
      </c>
      <c r="K32" s="4">
        <f t="shared" si="2"/>
        <v>0</v>
      </c>
      <c r="L32">
        <v>0</v>
      </c>
      <c r="M32">
        <v>3.1160000000000001</v>
      </c>
      <c r="N32" s="4">
        <f t="shared" si="3"/>
        <v>0</v>
      </c>
    </row>
    <row r="33" spans="1:14" x14ac:dyDescent="0.25">
      <c r="A33" t="s">
        <v>128</v>
      </c>
      <c r="B33">
        <f t="shared" si="4"/>
        <v>0</v>
      </c>
      <c r="C33">
        <v>0</v>
      </c>
      <c r="D33">
        <v>0.183</v>
      </c>
      <c r="E33" s="4">
        <f t="shared" si="0"/>
        <v>0</v>
      </c>
      <c r="F33">
        <v>0</v>
      </c>
      <c r="G33">
        <v>1.617</v>
      </c>
      <c r="H33" s="4">
        <f t="shared" si="1"/>
        <v>0</v>
      </c>
      <c r="I33">
        <v>0</v>
      </c>
      <c r="J33">
        <v>5.7309999999999999</v>
      </c>
      <c r="K33" s="4">
        <f t="shared" si="2"/>
        <v>0</v>
      </c>
      <c r="L33">
        <v>0</v>
      </c>
      <c r="M33">
        <v>5.0570000000000004</v>
      </c>
      <c r="N33" s="4">
        <f t="shared" si="3"/>
        <v>0</v>
      </c>
    </row>
    <row r="34" spans="1:14" x14ac:dyDescent="0.25">
      <c r="A34" t="s">
        <v>129</v>
      </c>
      <c r="B34">
        <f t="shared" si="4"/>
        <v>0</v>
      </c>
      <c r="C34">
        <v>0</v>
      </c>
      <c r="D34">
        <v>0.13300000000000001</v>
      </c>
      <c r="E34" s="4">
        <f t="shared" si="0"/>
        <v>0</v>
      </c>
      <c r="F34">
        <v>0</v>
      </c>
      <c r="G34">
        <v>1.7000000000000001E-2</v>
      </c>
      <c r="H34" s="4">
        <f t="shared" si="1"/>
        <v>0</v>
      </c>
      <c r="I34">
        <v>0</v>
      </c>
      <c r="J34">
        <v>0.68200000000000005</v>
      </c>
      <c r="K34" s="4">
        <f t="shared" si="2"/>
        <v>0</v>
      </c>
      <c r="L34">
        <v>0</v>
      </c>
      <c r="M34">
        <v>0.129</v>
      </c>
      <c r="N34" s="4">
        <f t="shared" si="3"/>
        <v>0</v>
      </c>
    </row>
    <row r="35" spans="1:14" x14ac:dyDescent="0.25">
      <c r="A35" t="s">
        <v>130</v>
      </c>
      <c r="B35">
        <f t="shared" si="4"/>
        <v>0</v>
      </c>
      <c r="C35">
        <v>0</v>
      </c>
      <c r="D35">
        <v>0.121</v>
      </c>
      <c r="E35" s="4">
        <f t="shared" si="0"/>
        <v>0</v>
      </c>
      <c r="F35">
        <v>0</v>
      </c>
      <c r="G35">
        <v>0.01</v>
      </c>
      <c r="H35" s="4">
        <f t="shared" si="1"/>
        <v>0</v>
      </c>
      <c r="I35">
        <v>0</v>
      </c>
      <c r="J35">
        <v>1.393</v>
      </c>
      <c r="K35" s="4">
        <f t="shared" si="2"/>
        <v>0</v>
      </c>
      <c r="L35">
        <v>0</v>
      </c>
      <c r="M35">
        <v>0.16800000000000001</v>
      </c>
      <c r="N35" s="4">
        <f t="shared" si="3"/>
        <v>0</v>
      </c>
    </row>
    <row r="36" spans="1:14" x14ac:dyDescent="0.25">
      <c r="A36" t="s">
        <v>131</v>
      </c>
      <c r="B36">
        <f t="shared" si="4"/>
        <v>0</v>
      </c>
      <c r="C36">
        <v>0</v>
      </c>
      <c r="D36">
        <v>0.16900000000000001</v>
      </c>
      <c r="E36" s="4">
        <f t="shared" si="0"/>
        <v>0</v>
      </c>
      <c r="F36">
        <v>0</v>
      </c>
      <c r="G36">
        <v>0.16</v>
      </c>
      <c r="H36" s="4">
        <f t="shared" si="1"/>
        <v>0</v>
      </c>
      <c r="I36">
        <v>0</v>
      </c>
      <c r="J36">
        <v>0.49299999999999999</v>
      </c>
      <c r="K36" s="4">
        <f t="shared" si="2"/>
        <v>0</v>
      </c>
      <c r="L36">
        <v>0</v>
      </c>
      <c r="M36">
        <v>0.24099999999999999</v>
      </c>
      <c r="N36" s="4">
        <f t="shared" si="3"/>
        <v>0</v>
      </c>
    </row>
    <row r="37" spans="1:14" x14ac:dyDescent="0.25">
      <c r="A37" t="s">
        <v>132</v>
      </c>
      <c r="B37">
        <f t="shared" si="4"/>
        <v>0</v>
      </c>
      <c r="C37">
        <v>0</v>
      </c>
      <c r="D37">
        <v>0.16800000000000001</v>
      </c>
      <c r="E37" s="4">
        <f t="shared" si="0"/>
        <v>0</v>
      </c>
      <c r="F37">
        <v>0</v>
      </c>
      <c r="G37">
        <v>0.03</v>
      </c>
      <c r="H37" s="4">
        <f t="shared" si="1"/>
        <v>0</v>
      </c>
      <c r="I37">
        <v>0</v>
      </c>
      <c r="J37">
        <v>0.59499999999999997</v>
      </c>
      <c r="K37" s="4">
        <f t="shared" si="2"/>
        <v>0</v>
      </c>
      <c r="L37">
        <v>0</v>
      </c>
      <c r="M37">
        <v>0.26300000000000001</v>
      </c>
      <c r="N37" s="4">
        <f t="shared" si="3"/>
        <v>0</v>
      </c>
    </row>
    <row r="38" spans="1:14" x14ac:dyDescent="0.25">
      <c r="A38" t="s">
        <v>133</v>
      </c>
      <c r="B38">
        <f t="shared" si="4"/>
        <v>0</v>
      </c>
      <c r="C38">
        <v>0</v>
      </c>
      <c r="D38">
        <v>0.159</v>
      </c>
      <c r="E38" s="4">
        <f t="shared" si="0"/>
        <v>0</v>
      </c>
      <c r="F38">
        <v>0</v>
      </c>
      <c r="G38">
        <v>1.7999999999999999E-2</v>
      </c>
      <c r="H38" s="4">
        <f t="shared" si="1"/>
        <v>0</v>
      </c>
      <c r="I38">
        <v>0</v>
      </c>
      <c r="J38">
        <v>0.94599999999999995</v>
      </c>
      <c r="K38" s="4">
        <f t="shared" si="2"/>
        <v>0</v>
      </c>
      <c r="L38">
        <v>0</v>
      </c>
      <c r="M38">
        <v>0.248</v>
      </c>
      <c r="N38" s="4">
        <f t="shared" si="3"/>
        <v>0</v>
      </c>
    </row>
    <row r="39" spans="1:14" x14ac:dyDescent="0.25">
      <c r="A39" t="s">
        <v>161</v>
      </c>
      <c r="B39">
        <f t="shared" si="4"/>
        <v>0</v>
      </c>
      <c r="C39">
        <v>0</v>
      </c>
      <c r="D39">
        <v>6.3</v>
      </c>
      <c r="E39" s="4">
        <f t="shared" si="0"/>
        <v>0</v>
      </c>
      <c r="F39">
        <v>0</v>
      </c>
      <c r="G39">
        <v>1.331</v>
      </c>
      <c r="H39" s="4">
        <f t="shared" si="1"/>
        <v>0</v>
      </c>
      <c r="I39">
        <v>0</v>
      </c>
      <c r="J39">
        <v>17.474</v>
      </c>
      <c r="K39" s="4">
        <f t="shared" si="2"/>
        <v>0</v>
      </c>
      <c r="L39">
        <v>0</v>
      </c>
      <c r="M39">
        <v>27.596</v>
      </c>
      <c r="N39" s="4">
        <f t="shared" si="3"/>
        <v>0</v>
      </c>
    </row>
    <row r="40" spans="1:14" x14ac:dyDescent="0.25">
      <c r="A40" t="s">
        <v>162</v>
      </c>
      <c r="B40">
        <f t="shared" si="4"/>
        <v>0</v>
      </c>
      <c r="C40">
        <v>0</v>
      </c>
      <c r="D40">
        <v>14.066000000000001</v>
      </c>
      <c r="E40" s="4">
        <f t="shared" si="0"/>
        <v>0</v>
      </c>
      <c r="F40">
        <v>0</v>
      </c>
      <c r="G40">
        <v>11.231999999999999</v>
      </c>
      <c r="H40" s="4">
        <f t="shared" si="1"/>
        <v>0</v>
      </c>
      <c r="I40">
        <v>0</v>
      </c>
      <c r="J40">
        <v>65.418000000000006</v>
      </c>
      <c r="K40" s="4">
        <f t="shared" si="2"/>
        <v>0</v>
      </c>
      <c r="L40">
        <v>14</v>
      </c>
      <c r="M40">
        <v>301.00599999999997</v>
      </c>
      <c r="N40" s="4">
        <f t="shared" si="3"/>
        <v>14</v>
      </c>
    </row>
    <row r="41" spans="1:14" x14ac:dyDescent="0.25">
      <c r="A41" t="s">
        <v>163</v>
      </c>
      <c r="B41">
        <f t="shared" si="4"/>
        <v>2</v>
      </c>
      <c r="C41">
        <v>10</v>
      </c>
      <c r="D41">
        <v>303.60899999999998</v>
      </c>
      <c r="E41" s="4">
        <f t="shared" si="0"/>
        <v>2.6666666666666665</v>
      </c>
      <c r="F41">
        <v>2</v>
      </c>
      <c r="G41">
        <v>224.22499999999999</v>
      </c>
      <c r="H41" s="4">
        <f t="shared" si="1"/>
        <v>0</v>
      </c>
      <c r="I41">
        <v>23</v>
      </c>
      <c r="J41">
        <v>304.13099999999997</v>
      </c>
      <c r="K41" s="4">
        <f t="shared" si="2"/>
        <v>7</v>
      </c>
      <c r="L41">
        <v>30</v>
      </c>
      <c r="M41">
        <v>301.20600000000002</v>
      </c>
      <c r="N41" s="4">
        <f t="shared" si="3"/>
        <v>9.3333333333333339</v>
      </c>
    </row>
    <row r="42" spans="1:14" x14ac:dyDescent="0.25">
      <c r="A42" t="s">
        <v>164</v>
      </c>
      <c r="B42">
        <f t="shared" si="4"/>
        <v>0</v>
      </c>
      <c r="C42">
        <v>0</v>
      </c>
      <c r="D42">
        <v>10.015000000000001</v>
      </c>
      <c r="E42" s="4">
        <f t="shared" si="0"/>
        <v>0</v>
      </c>
      <c r="F42">
        <v>0</v>
      </c>
      <c r="G42">
        <v>12.228</v>
      </c>
      <c r="H42" s="4">
        <f t="shared" si="1"/>
        <v>0</v>
      </c>
      <c r="I42">
        <v>0</v>
      </c>
      <c r="J42">
        <v>16.34</v>
      </c>
      <c r="K42" s="4">
        <f t="shared" si="2"/>
        <v>0</v>
      </c>
      <c r="L42">
        <v>0</v>
      </c>
      <c r="M42">
        <v>20.428000000000001</v>
      </c>
      <c r="N42" s="4">
        <f t="shared" si="3"/>
        <v>0</v>
      </c>
    </row>
    <row r="43" spans="1:14" x14ac:dyDescent="0.25">
      <c r="A43" t="s">
        <v>165</v>
      </c>
      <c r="B43">
        <f t="shared" si="4"/>
        <v>0</v>
      </c>
      <c r="C43">
        <v>0</v>
      </c>
      <c r="D43">
        <v>10.101000000000001</v>
      </c>
      <c r="E43" s="4">
        <f t="shared" si="0"/>
        <v>0</v>
      </c>
      <c r="F43">
        <v>0</v>
      </c>
      <c r="G43">
        <v>4.4320000000000004</v>
      </c>
      <c r="H43" s="4">
        <f t="shared" si="1"/>
        <v>0</v>
      </c>
      <c r="I43">
        <v>0</v>
      </c>
      <c r="J43">
        <v>15.548999999999999</v>
      </c>
      <c r="K43" s="4">
        <f t="shared" si="2"/>
        <v>0</v>
      </c>
      <c r="L43">
        <v>0</v>
      </c>
      <c r="M43">
        <v>13.468</v>
      </c>
      <c r="N43" s="4">
        <f t="shared" si="3"/>
        <v>0</v>
      </c>
    </row>
    <row r="44" spans="1:14" x14ac:dyDescent="0.25">
      <c r="A44" t="s">
        <v>166</v>
      </c>
      <c r="B44">
        <f t="shared" si="4"/>
        <v>0</v>
      </c>
      <c r="C44">
        <v>0</v>
      </c>
      <c r="D44">
        <v>27.91</v>
      </c>
      <c r="E44" s="4">
        <f t="shared" si="0"/>
        <v>0</v>
      </c>
      <c r="F44">
        <v>0</v>
      </c>
      <c r="G44">
        <v>247.631</v>
      </c>
      <c r="H44" s="4">
        <f t="shared" si="1"/>
        <v>0</v>
      </c>
      <c r="I44">
        <v>0</v>
      </c>
      <c r="J44">
        <v>57.307000000000002</v>
      </c>
      <c r="K44" s="4">
        <f t="shared" si="2"/>
        <v>0</v>
      </c>
      <c r="L44">
        <v>172</v>
      </c>
      <c r="M44">
        <v>301.07900000000001</v>
      </c>
      <c r="N44" s="4">
        <f t="shared" si="3"/>
        <v>172</v>
      </c>
    </row>
    <row r="45" spans="1:14" x14ac:dyDescent="0.25">
      <c r="A45" t="s">
        <v>167</v>
      </c>
      <c r="B45">
        <f t="shared" si="4"/>
        <v>0</v>
      </c>
      <c r="C45">
        <v>0</v>
      </c>
      <c r="D45">
        <v>17.388999999999999</v>
      </c>
      <c r="E45" s="4">
        <f t="shared" si="0"/>
        <v>0</v>
      </c>
      <c r="F45">
        <v>0</v>
      </c>
      <c r="G45">
        <v>39.661000000000001</v>
      </c>
      <c r="H45" s="4">
        <f t="shared" si="1"/>
        <v>0</v>
      </c>
      <c r="I45">
        <v>0</v>
      </c>
      <c r="J45">
        <v>41.203000000000003</v>
      </c>
      <c r="K45" s="4">
        <f t="shared" si="2"/>
        <v>0</v>
      </c>
      <c r="L45">
        <v>0</v>
      </c>
      <c r="M45">
        <v>25.456</v>
      </c>
      <c r="N45" s="4">
        <f t="shared" si="3"/>
        <v>0</v>
      </c>
    </row>
    <row r="46" spans="1:14" x14ac:dyDescent="0.25">
      <c r="A46" t="s">
        <v>168</v>
      </c>
      <c r="B46">
        <f t="shared" si="4"/>
        <v>0</v>
      </c>
      <c r="C46">
        <v>0</v>
      </c>
      <c r="D46">
        <v>10.092000000000001</v>
      </c>
      <c r="E46" s="4">
        <f t="shared" si="0"/>
        <v>0</v>
      </c>
      <c r="F46">
        <v>0</v>
      </c>
      <c r="G46">
        <v>11.009</v>
      </c>
      <c r="H46" s="4">
        <f t="shared" si="1"/>
        <v>0</v>
      </c>
      <c r="I46">
        <v>0</v>
      </c>
      <c r="J46">
        <v>18.905999999999999</v>
      </c>
      <c r="K46" s="4">
        <f t="shared" si="2"/>
        <v>0</v>
      </c>
      <c r="L46">
        <v>0</v>
      </c>
      <c r="M46">
        <v>19.579000000000001</v>
      </c>
      <c r="N46" s="4">
        <f t="shared" si="3"/>
        <v>0</v>
      </c>
    </row>
    <row r="47" spans="1:14" x14ac:dyDescent="0.25">
      <c r="A47" t="s">
        <v>169</v>
      </c>
      <c r="B47">
        <f t="shared" si="4"/>
        <v>0</v>
      </c>
      <c r="C47">
        <v>0</v>
      </c>
      <c r="D47">
        <v>8.6259999999999994</v>
      </c>
      <c r="E47" s="4">
        <f t="shared" si="0"/>
        <v>0</v>
      </c>
      <c r="F47">
        <v>0</v>
      </c>
      <c r="G47">
        <v>17.329000000000001</v>
      </c>
      <c r="H47" s="4">
        <f t="shared" si="1"/>
        <v>0</v>
      </c>
      <c r="I47">
        <v>0</v>
      </c>
      <c r="J47">
        <v>29.997</v>
      </c>
      <c r="K47" s="4">
        <f t="shared" si="2"/>
        <v>0</v>
      </c>
      <c r="L47">
        <v>0</v>
      </c>
      <c r="M47">
        <v>12.67</v>
      </c>
      <c r="N47" s="4">
        <f t="shared" si="3"/>
        <v>0</v>
      </c>
    </row>
    <row r="48" spans="1:14" x14ac:dyDescent="0.25">
      <c r="A48" t="s">
        <v>215</v>
      </c>
      <c r="B48">
        <f t="shared" si="4"/>
        <v>0</v>
      </c>
      <c r="C48">
        <v>631</v>
      </c>
      <c r="D48">
        <v>303.02600000000001</v>
      </c>
      <c r="E48" s="4">
        <f t="shared" si="0"/>
        <v>631</v>
      </c>
      <c r="F48">
        <v>0</v>
      </c>
      <c r="G48">
        <v>157.11500000000001</v>
      </c>
      <c r="H48" s="4">
        <f t="shared" si="1"/>
        <v>0</v>
      </c>
      <c r="I48">
        <v>0</v>
      </c>
      <c r="J48">
        <v>118.9</v>
      </c>
      <c r="K48" s="4">
        <f t="shared" si="2"/>
        <v>0</v>
      </c>
      <c r="L48">
        <v>2344</v>
      </c>
      <c r="M48">
        <v>301.209</v>
      </c>
      <c r="N48" s="4">
        <f t="shared" si="3"/>
        <v>2344</v>
      </c>
    </row>
    <row r="49" spans="1:21" x14ac:dyDescent="0.25">
      <c r="A49" t="s">
        <v>216</v>
      </c>
      <c r="B49">
        <f t="shared" si="4"/>
        <v>0</v>
      </c>
      <c r="C49">
        <v>800</v>
      </c>
      <c r="D49">
        <v>308.22800000000001</v>
      </c>
      <c r="E49" s="4">
        <f t="shared" si="0"/>
        <v>800</v>
      </c>
      <c r="F49">
        <v>6</v>
      </c>
      <c r="G49">
        <v>302.67599999999999</v>
      </c>
      <c r="H49" s="4">
        <f t="shared" si="1"/>
        <v>6</v>
      </c>
      <c r="I49">
        <v>0</v>
      </c>
      <c r="J49">
        <v>145.947</v>
      </c>
      <c r="K49" s="4">
        <f t="shared" si="2"/>
        <v>0</v>
      </c>
      <c r="L49">
        <v>2075</v>
      </c>
      <c r="M49">
        <v>302.714</v>
      </c>
      <c r="N49" s="4">
        <f t="shared" si="3"/>
        <v>2075</v>
      </c>
    </row>
    <row r="50" spans="1:21" ht="15.75" thickBot="1" x14ac:dyDescent="0.3">
      <c r="A50" t="s">
        <v>217</v>
      </c>
      <c r="B50">
        <f t="shared" si="4"/>
        <v>158</v>
      </c>
      <c r="C50">
        <v>378</v>
      </c>
      <c r="D50">
        <v>383.95400000000001</v>
      </c>
      <c r="E50" s="4">
        <f t="shared" si="0"/>
        <v>1.3836477987421383</v>
      </c>
      <c r="F50">
        <v>158</v>
      </c>
      <c r="G50">
        <v>301.35300000000001</v>
      </c>
      <c r="H50" s="4">
        <f t="shared" si="1"/>
        <v>0</v>
      </c>
      <c r="I50">
        <v>467</v>
      </c>
      <c r="J50">
        <v>301.69400000000002</v>
      </c>
      <c r="K50" s="4">
        <f t="shared" si="2"/>
        <v>1.9433962264150944</v>
      </c>
      <c r="L50">
        <v>1052</v>
      </c>
      <c r="M50">
        <v>305.45699999999999</v>
      </c>
      <c r="N50" s="4">
        <f t="shared" si="3"/>
        <v>5.6226415094339623</v>
      </c>
    </row>
    <row r="51" spans="1:21" ht="15.75" thickBot="1" x14ac:dyDescent="0.3">
      <c r="A51" t="s">
        <v>218</v>
      </c>
      <c r="B51">
        <f t="shared" si="4"/>
        <v>0</v>
      </c>
      <c r="C51">
        <v>0</v>
      </c>
      <c r="D51">
        <v>170.274</v>
      </c>
      <c r="E51" s="4">
        <f t="shared" si="0"/>
        <v>0</v>
      </c>
      <c r="F51">
        <v>0</v>
      </c>
      <c r="G51">
        <v>283.83600000000001</v>
      </c>
      <c r="H51" s="4">
        <f t="shared" si="1"/>
        <v>0</v>
      </c>
      <c r="I51">
        <v>0</v>
      </c>
      <c r="J51">
        <v>211.066</v>
      </c>
      <c r="K51" s="4">
        <f t="shared" si="2"/>
        <v>0</v>
      </c>
      <c r="L51">
        <v>0</v>
      </c>
      <c r="M51">
        <v>260.22800000000001</v>
      </c>
      <c r="N51" s="4">
        <f t="shared" si="3"/>
        <v>0</v>
      </c>
      <c r="Q51" s="40" t="s">
        <v>228</v>
      </c>
      <c r="R51" s="41"/>
      <c r="S51" s="42"/>
    </row>
    <row r="52" spans="1:21" x14ac:dyDescent="0.25">
      <c r="A52" t="s">
        <v>219</v>
      </c>
      <c r="B52">
        <f t="shared" si="4"/>
        <v>0</v>
      </c>
      <c r="C52">
        <v>0</v>
      </c>
      <c r="D52">
        <v>211.471</v>
      </c>
      <c r="E52" s="4">
        <f t="shared" si="0"/>
        <v>0</v>
      </c>
      <c r="F52">
        <v>0</v>
      </c>
      <c r="G52">
        <v>218.102</v>
      </c>
      <c r="H52" s="4">
        <f t="shared" si="1"/>
        <v>0</v>
      </c>
      <c r="I52">
        <v>0</v>
      </c>
      <c r="J52">
        <v>273.298</v>
      </c>
      <c r="K52" s="4">
        <f t="shared" si="2"/>
        <v>0</v>
      </c>
      <c r="L52">
        <v>0</v>
      </c>
      <c r="M52">
        <v>294.58699999999999</v>
      </c>
      <c r="N52" s="4">
        <f t="shared" si="3"/>
        <v>0</v>
      </c>
      <c r="Q52" s="6"/>
      <c r="R52" s="32" t="str">
        <f>$C$1</f>
        <v>MAB</v>
      </c>
      <c r="S52" s="8" t="str">
        <f>$F$1</f>
        <v>Cliques</v>
      </c>
      <c r="T52" s="8" t="str">
        <f>$I$1</f>
        <v>Louvain</v>
      </c>
      <c r="U52" s="8" t="str">
        <f>$L$1</f>
        <v>Mcallister</v>
      </c>
    </row>
    <row r="53" spans="1:21" x14ac:dyDescent="0.25">
      <c r="A53" t="s">
        <v>220</v>
      </c>
      <c r="B53">
        <f t="shared" si="4"/>
        <v>0</v>
      </c>
      <c r="C53">
        <v>4587</v>
      </c>
      <c r="D53">
        <v>357.51900000000001</v>
      </c>
      <c r="E53" s="4">
        <f t="shared" si="0"/>
        <v>4587</v>
      </c>
      <c r="F53">
        <v>4162</v>
      </c>
      <c r="G53">
        <v>301.67700000000002</v>
      </c>
      <c r="H53" s="4">
        <f t="shared" si="1"/>
        <v>4162</v>
      </c>
      <c r="I53">
        <v>0</v>
      </c>
      <c r="J53">
        <v>164.57499999999999</v>
      </c>
      <c r="K53" s="4">
        <f t="shared" si="2"/>
        <v>0</v>
      </c>
      <c r="L53">
        <v>6895</v>
      </c>
      <c r="M53">
        <v>330.84100000000001</v>
      </c>
      <c r="N53" s="4">
        <f t="shared" si="3"/>
        <v>6895</v>
      </c>
      <c r="Q53" s="9" t="s">
        <v>3</v>
      </c>
      <c r="R53" s="11">
        <f>AVERAGE(C30:C56)</f>
        <v>237.25925925925927</v>
      </c>
      <c r="S53" s="11">
        <f>AVERAGE(F30:F56)</f>
        <v>590.07407407407402</v>
      </c>
      <c r="T53" s="11">
        <f>AVERAGE(I30:I56)</f>
        <v>118.03703703703704</v>
      </c>
      <c r="U53" s="11">
        <f>AVERAGE(L30:L56)</f>
        <v>468.14814814814815</v>
      </c>
    </row>
    <row r="54" spans="1:21" x14ac:dyDescent="0.25">
      <c r="A54" t="s">
        <v>221</v>
      </c>
      <c r="B54">
        <f t="shared" si="4"/>
        <v>0</v>
      </c>
      <c r="C54">
        <v>0</v>
      </c>
      <c r="D54">
        <v>247.036</v>
      </c>
      <c r="E54" s="4">
        <f t="shared" si="0"/>
        <v>0</v>
      </c>
      <c r="F54">
        <v>1241</v>
      </c>
      <c r="G54">
        <v>303.68700000000001</v>
      </c>
      <c r="H54" s="4">
        <f t="shared" si="1"/>
        <v>1241</v>
      </c>
      <c r="I54">
        <v>2697</v>
      </c>
      <c r="J54">
        <v>308.74299999999999</v>
      </c>
      <c r="K54" s="4">
        <f t="shared" si="2"/>
        <v>2697</v>
      </c>
      <c r="L54">
        <v>58</v>
      </c>
      <c r="M54">
        <v>304.262</v>
      </c>
      <c r="N54" s="4">
        <f t="shared" si="3"/>
        <v>58</v>
      </c>
      <c r="Q54" s="9" t="s">
        <v>4</v>
      </c>
      <c r="R54" s="11">
        <f>AVERAGE(D30:D56)</f>
        <v>101.14966666666668</v>
      </c>
      <c r="S54" s="11">
        <f>AVERAGE(G30:G56)</f>
        <v>112.51637037037037</v>
      </c>
      <c r="T54" s="11">
        <f>AVERAGE(J30:J56)</f>
        <v>99.439555555555543</v>
      </c>
      <c r="U54" s="11">
        <f>AVERAGE(M30:M56)</f>
        <v>135.77944444444444</v>
      </c>
    </row>
    <row r="55" spans="1:21" x14ac:dyDescent="0.25">
      <c r="A55" t="s">
        <v>222</v>
      </c>
      <c r="B55">
        <f t="shared" si="4"/>
        <v>0</v>
      </c>
      <c r="C55">
        <v>0</v>
      </c>
      <c r="D55">
        <v>186.19800000000001</v>
      </c>
      <c r="E55" s="4">
        <f t="shared" si="0"/>
        <v>0</v>
      </c>
      <c r="F55">
        <v>0</v>
      </c>
      <c r="G55">
        <v>284.99400000000003</v>
      </c>
      <c r="H55" s="4">
        <f t="shared" si="1"/>
        <v>0</v>
      </c>
      <c r="I55">
        <v>0</v>
      </c>
      <c r="J55">
        <v>283.13099999999997</v>
      </c>
      <c r="K55" s="4">
        <f t="shared" si="2"/>
        <v>0</v>
      </c>
      <c r="L55">
        <v>0</v>
      </c>
      <c r="M55">
        <v>306.89299999999997</v>
      </c>
      <c r="N55" s="4">
        <f t="shared" si="3"/>
        <v>0</v>
      </c>
      <c r="Q55" s="12" t="s">
        <v>5</v>
      </c>
      <c r="R55" s="43">
        <f>AVERAGE(E30:E56)</f>
        <v>223.03890053575586</v>
      </c>
      <c r="S55" s="43">
        <f>AVERAGE(H30:H56)</f>
        <v>584.14814814814815</v>
      </c>
      <c r="T55" s="43">
        <f>AVERAGE(K30:K56)</f>
        <v>100.22012578616352</v>
      </c>
      <c r="U55" s="43">
        <f>AVERAGE(N30:N56)</f>
        <v>428.62799906825063</v>
      </c>
    </row>
    <row r="56" spans="1:21" ht="15.75" thickBot="1" x14ac:dyDescent="0.3">
      <c r="A56" s="27" t="s">
        <v>223</v>
      </c>
      <c r="B56">
        <f t="shared" si="4"/>
        <v>0</v>
      </c>
      <c r="C56">
        <v>0</v>
      </c>
      <c r="D56">
        <v>154.029</v>
      </c>
      <c r="E56" s="13">
        <f t="shared" si="0"/>
        <v>0</v>
      </c>
      <c r="F56">
        <v>10363</v>
      </c>
      <c r="G56">
        <v>312.19099999999997</v>
      </c>
      <c r="H56" s="13">
        <f t="shared" si="1"/>
        <v>10363</v>
      </c>
      <c r="I56">
        <v>0</v>
      </c>
      <c r="J56">
        <v>296.44299999999998</v>
      </c>
      <c r="K56" s="13">
        <f t="shared" si="2"/>
        <v>0</v>
      </c>
      <c r="L56">
        <v>0</v>
      </c>
      <c r="M56">
        <v>224.41499999999999</v>
      </c>
      <c r="N56" s="13">
        <f t="shared" si="3"/>
        <v>0</v>
      </c>
      <c r="O56" s="27"/>
      <c r="P56" s="14"/>
      <c r="Q56" s="15" t="s">
        <v>115</v>
      </c>
      <c r="R56" s="17">
        <f>COUNTIF(E30:E56,"=0")</f>
        <v>22</v>
      </c>
      <c r="S56" s="17">
        <f>COUNTIF(H30:H56,"=0")</f>
        <v>23</v>
      </c>
      <c r="T56" s="17">
        <f>COUNTIF(K30:K56,"=0")</f>
        <v>24</v>
      </c>
      <c r="U56" s="17">
        <f>COUNTIF(N30:N56,"=0")</f>
        <v>19</v>
      </c>
    </row>
    <row r="57" spans="1:21" x14ac:dyDescent="0.25">
      <c r="A57" t="s">
        <v>243</v>
      </c>
      <c r="B57">
        <f t="shared" si="4"/>
        <v>0</v>
      </c>
      <c r="C57">
        <v>0</v>
      </c>
      <c r="D57">
        <v>7.5999999999999998E-2</v>
      </c>
      <c r="E57" s="4">
        <f t="shared" si="0"/>
        <v>0</v>
      </c>
      <c r="F57">
        <v>0</v>
      </c>
      <c r="G57">
        <v>1.9E-2</v>
      </c>
      <c r="H57" s="4">
        <f t="shared" si="1"/>
        <v>0</v>
      </c>
      <c r="I57">
        <v>0</v>
      </c>
      <c r="J57">
        <v>7.9649999999999999</v>
      </c>
      <c r="K57" s="4">
        <f t="shared" si="2"/>
        <v>0</v>
      </c>
      <c r="L57">
        <v>0</v>
      </c>
      <c r="M57">
        <v>0.11899999999999999</v>
      </c>
      <c r="N57" s="4">
        <f t="shared" si="3"/>
        <v>0</v>
      </c>
    </row>
    <row r="58" spans="1:21" x14ac:dyDescent="0.25">
      <c r="A58" t="s">
        <v>244</v>
      </c>
      <c r="B58">
        <f t="shared" si="4"/>
        <v>0</v>
      </c>
      <c r="C58">
        <v>0</v>
      </c>
      <c r="D58">
        <v>60.548999999999999</v>
      </c>
      <c r="E58" s="4">
        <f t="shared" si="0"/>
        <v>0</v>
      </c>
      <c r="F58">
        <v>2</v>
      </c>
      <c r="G58">
        <v>9.8729999999999993</v>
      </c>
      <c r="H58" s="4">
        <f t="shared" si="1"/>
        <v>2</v>
      </c>
      <c r="I58">
        <v>2</v>
      </c>
      <c r="J58">
        <v>302.30700000000002</v>
      </c>
      <c r="K58" s="4">
        <f t="shared" si="2"/>
        <v>2</v>
      </c>
      <c r="L58">
        <v>0</v>
      </c>
      <c r="M58">
        <v>22.827000000000002</v>
      </c>
      <c r="N58" s="4">
        <f t="shared" si="3"/>
        <v>0</v>
      </c>
    </row>
    <row r="59" spans="1:21" x14ac:dyDescent="0.25">
      <c r="A59" t="s">
        <v>245</v>
      </c>
      <c r="B59">
        <f t="shared" si="4"/>
        <v>0</v>
      </c>
      <c r="C59">
        <v>0</v>
      </c>
      <c r="D59">
        <v>7.4999999999999997E-2</v>
      </c>
      <c r="E59" s="4">
        <f t="shared" si="0"/>
        <v>0</v>
      </c>
      <c r="F59">
        <v>0</v>
      </c>
      <c r="G59">
        <v>1.575</v>
      </c>
      <c r="H59" s="4">
        <f t="shared" si="1"/>
        <v>0</v>
      </c>
      <c r="I59">
        <v>0</v>
      </c>
      <c r="J59">
        <v>2.782</v>
      </c>
      <c r="K59" s="4">
        <f t="shared" si="2"/>
        <v>0</v>
      </c>
      <c r="L59">
        <v>0</v>
      </c>
      <c r="M59">
        <v>3.1309999999999998</v>
      </c>
      <c r="N59" s="4">
        <f t="shared" si="3"/>
        <v>0</v>
      </c>
    </row>
    <row r="60" spans="1:21" x14ac:dyDescent="0.25">
      <c r="A60" t="s">
        <v>246</v>
      </c>
      <c r="B60">
        <f t="shared" si="4"/>
        <v>57</v>
      </c>
      <c r="C60">
        <v>57</v>
      </c>
      <c r="D60">
        <v>301.06299999999999</v>
      </c>
      <c r="E60" s="4">
        <f t="shared" si="0"/>
        <v>0</v>
      </c>
      <c r="F60">
        <v>60</v>
      </c>
      <c r="G60">
        <v>16.588999999999999</v>
      </c>
      <c r="H60" s="4">
        <f t="shared" si="1"/>
        <v>5.1724137931034482E-2</v>
      </c>
      <c r="I60">
        <v>59</v>
      </c>
      <c r="J60">
        <v>133.584</v>
      </c>
      <c r="K60" s="4">
        <f t="shared" si="2"/>
        <v>3.4482758620689655E-2</v>
      </c>
      <c r="L60">
        <v>59</v>
      </c>
      <c r="M60">
        <v>32.706000000000003</v>
      </c>
      <c r="N60" s="4">
        <f t="shared" si="3"/>
        <v>3.4482758620689655E-2</v>
      </c>
    </row>
    <row r="61" spans="1:21" x14ac:dyDescent="0.25">
      <c r="A61" t="s">
        <v>247</v>
      </c>
      <c r="B61">
        <f t="shared" si="4"/>
        <v>119</v>
      </c>
      <c r="C61">
        <v>119</v>
      </c>
      <c r="D61">
        <v>301.05799999999999</v>
      </c>
      <c r="E61" s="4">
        <f t="shared" si="0"/>
        <v>0</v>
      </c>
      <c r="F61">
        <v>122</v>
      </c>
      <c r="G61">
        <v>11.54</v>
      </c>
      <c r="H61" s="4">
        <f t="shared" si="1"/>
        <v>2.5000000000000001E-2</v>
      </c>
      <c r="I61">
        <v>129</v>
      </c>
      <c r="J61">
        <v>243.52099999999999</v>
      </c>
      <c r="K61" s="4">
        <f t="shared" si="2"/>
        <v>8.3333333333333329E-2</v>
      </c>
      <c r="L61">
        <v>121</v>
      </c>
      <c r="M61">
        <v>27.876999999999999</v>
      </c>
      <c r="N61" s="4">
        <f t="shared" si="3"/>
        <v>1.6666666666666666E-2</v>
      </c>
    </row>
    <row r="62" spans="1:21" x14ac:dyDescent="0.25">
      <c r="A62" t="s">
        <v>248</v>
      </c>
      <c r="B62">
        <f t="shared" si="4"/>
        <v>77</v>
      </c>
      <c r="C62">
        <v>77</v>
      </c>
      <c r="D62">
        <v>301.02199999999999</v>
      </c>
      <c r="E62" s="4">
        <f t="shared" si="0"/>
        <v>0</v>
      </c>
      <c r="F62">
        <v>78</v>
      </c>
      <c r="G62">
        <v>7.4160000000000004</v>
      </c>
      <c r="H62" s="4">
        <f t="shared" si="1"/>
        <v>1.282051282051282E-2</v>
      </c>
      <c r="I62">
        <v>89</v>
      </c>
      <c r="J62">
        <v>303.25400000000002</v>
      </c>
      <c r="K62" s="4">
        <f t="shared" si="2"/>
        <v>0.15384615384615385</v>
      </c>
      <c r="L62">
        <v>79</v>
      </c>
      <c r="M62">
        <v>23.065999999999999</v>
      </c>
      <c r="N62" s="4">
        <f t="shared" si="3"/>
        <v>2.564102564102564E-2</v>
      </c>
    </row>
    <row r="63" spans="1:21" x14ac:dyDescent="0.25">
      <c r="A63" t="s">
        <v>249</v>
      </c>
      <c r="B63">
        <f t="shared" si="4"/>
        <v>253</v>
      </c>
      <c r="C63">
        <v>253</v>
      </c>
      <c r="D63">
        <v>301.02199999999999</v>
      </c>
      <c r="E63" s="4">
        <f t="shared" si="0"/>
        <v>0</v>
      </c>
      <c r="F63">
        <v>253</v>
      </c>
      <c r="G63">
        <v>28.306999999999999</v>
      </c>
      <c r="H63" s="4">
        <f t="shared" si="1"/>
        <v>0</v>
      </c>
      <c r="I63">
        <v>254</v>
      </c>
      <c r="J63">
        <v>163.46799999999999</v>
      </c>
      <c r="K63" s="4">
        <f t="shared" si="2"/>
        <v>3.937007874015748E-3</v>
      </c>
      <c r="L63">
        <v>253</v>
      </c>
      <c r="M63">
        <v>47.140999999999998</v>
      </c>
      <c r="N63" s="4">
        <f t="shared" si="3"/>
        <v>0</v>
      </c>
    </row>
    <row r="64" spans="1:21" x14ac:dyDescent="0.25">
      <c r="A64" t="s">
        <v>250</v>
      </c>
      <c r="B64">
        <f t="shared" si="4"/>
        <v>419</v>
      </c>
      <c r="C64">
        <v>419</v>
      </c>
      <c r="D64">
        <v>301.01499999999999</v>
      </c>
      <c r="E64" s="4">
        <f t="shared" si="0"/>
        <v>0</v>
      </c>
      <c r="F64">
        <v>419</v>
      </c>
      <c r="G64">
        <v>19.907</v>
      </c>
      <c r="H64" s="4">
        <f t="shared" si="1"/>
        <v>0</v>
      </c>
      <c r="I64">
        <v>419</v>
      </c>
      <c r="J64">
        <v>172.738</v>
      </c>
      <c r="K64" s="4">
        <f t="shared" si="2"/>
        <v>0</v>
      </c>
      <c r="L64">
        <v>419</v>
      </c>
      <c r="M64">
        <v>38.697000000000003</v>
      </c>
      <c r="N64" s="4">
        <f t="shared" si="3"/>
        <v>0</v>
      </c>
    </row>
    <row r="65" spans="1:21" x14ac:dyDescent="0.25">
      <c r="A65" t="s">
        <v>251</v>
      </c>
      <c r="B65">
        <f t="shared" si="4"/>
        <v>223</v>
      </c>
      <c r="C65">
        <v>223</v>
      </c>
      <c r="D65">
        <v>301.17099999999999</v>
      </c>
      <c r="E65" s="4">
        <f t="shared" si="0"/>
        <v>0</v>
      </c>
      <c r="F65">
        <v>224</v>
      </c>
      <c r="G65">
        <v>7.8920000000000003</v>
      </c>
      <c r="H65" s="4">
        <f t="shared" si="1"/>
        <v>4.464285714285714E-3</v>
      </c>
      <c r="I65">
        <v>227</v>
      </c>
      <c r="J65">
        <v>297.315</v>
      </c>
      <c r="K65" s="4">
        <f t="shared" si="2"/>
        <v>1.7857142857142856E-2</v>
      </c>
      <c r="L65">
        <v>224</v>
      </c>
      <c r="M65">
        <v>29.331</v>
      </c>
      <c r="N65" s="4">
        <f t="shared" si="3"/>
        <v>4.464285714285714E-3</v>
      </c>
    </row>
    <row r="66" spans="1:21" x14ac:dyDescent="0.25">
      <c r="A66" t="s">
        <v>279</v>
      </c>
      <c r="B66">
        <f t="shared" si="4"/>
        <v>633</v>
      </c>
      <c r="C66">
        <v>633</v>
      </c>
      <c r="D66">
        <v>330.56599999999997</v>
      </c>
      <c r="E66" s="4">
        <f t="shared" si="0"/>
        <v>0</v>
      </c>
      <c r="F66">
        <v>686</v>
      </c>
      <c r="G66">
        <v>301.28800000000001</v>
      </c>
      <c r="H66" s="4">
        <f t="shared" si="1"/>
        <v>8.3596214511041003E-2</v>
      </c>
      <c r="I66">
        <v>674</v>
      </c>
      <c r="J66">
        <v>326.04599999999999</v>
      </c>
      <c r="K66" s="4">
        <f t="shared" si="2"/>
        <v>6.4668769716088328E-2</v>
      </c>
      <c r="L66">
        <v>646</v>
      </c>
      <c r="M66">
        <v>301.28399999999999</v>
      </c>
      <c r="N66" s="4">
        <f t="shared" si="3"/>
        <v>2.0504731861198739E-2</v>
      </c>
    </row>
    <row r="67" spans="1:21" x14ac:dyDescent="0.25">
      <c r="A67" t="s">
        <v>280</v>
      </c>
      <c r="B67">
        <f t="shared" si="4"/>
        <v>1362</v>
      </c>
      <c r="C67">
        <v>1368</v>
      </c>
      <c r="D67">
        <v>303.91300000000001</v>
      </c>
      <c r="E67" s="4">
        <f t="shared" ref="E67:E83" si="5">(C67-$B67)/(1+$B67)</f>
        <v>4.4020542920029347E-3</v>
      </c>
      <c r="F67">
        <v>1385</v>
      </c>
      <c r="G67">
        <v>304.67500000000001</v>
      </c>
      <c r="H67" s="4">
        <f t="shared" ref="H67:H83" si="6">(F67-$B67)/(1+$B67)</f>
        <v>1.6874541452677916E-2</v>
      </c>
      <c r="I67">
        <v>1362</v>
      </c>
      <c r="J67">
        <v>320.86700000000002</v>
      </c>
      <c r="K67" s="4">
        <f t="shared" ref="K67:K83" si="7">(I67-$B67)/(1+$B67)</f>
        <v>0</v>
      </c>
      <c r="L67">
        <v>1363</v>
      </c>
      <c r="M67">
        <v>301.01499999999999</v>
      </c>
      <c r="N67" s="4">
        <f t="shared" ref="N67:N83" si="8">(L67-$B67)/(1+$B67)</f>
        <v>7.3367571533382249E-4</v>
      </c>
    </row>
    <row r="68" spans="1:21" x14ac:dyDescent="0.25">
      <c r="A68" t="s">
        <v>281</v>
      </c>
      <c r="B68">
        <f t="shared" ref="B68:B83" si="9">MIN(F68,I68,L68,C68)</f>
        <v>582</v>
      </c>
      <c r="C68">
        <v>582</v>
      </c>
      <c r="D68">
        <v>358.07900000000001</v>
      </c>
      <c r="E68" s="4">
        <f t="shared" si="5"/>
        <v>0</v>
      </c>
      <c r="F68">
        <v>584</v>
      </c>
      <c r="G68">
        <v>307.11700000000002</v>
      </c>
      <c r="H68" s="4">
        <f t="shared" si="6"/>
        <v>3.4305317324185248E-3</v>
      </c>
      <c r="I68">
        <v>683</v>
      </c>
      <c r="J68">
        <v>310.56799999999998</v>
      </c>
      <c r="K68" s="4">
        <f t="shared" si="7"/>
        <v>0.1732418524871355</v>
      </c>
      <c r="L68">
        <v>631</v>
      </c>
      <c r="M68">
        <v>301.02100000000002</v>
      </c>
      <c r="N68" s="4">
        <f t="shared" si="8"/>
        <v>8.4048027444253853E-2</v>
      </c>
    </row>
    <row r="69" spans="1:21" x14ac:dyDescent="0.25">
      <c r="A69" t="s">
        <v>282</v>
      </c>
      <c r="B69">
        <f t="shared" si="9"/>
        <v>6540</v>
      </c>
      <c r="C69">
        <v>6620</v>
      </c>
      <c r="D69">
        <v>319.77699999999999</v>
      </c>
      <c r="E69" s="4">
        <f t="shared" si="5"/>
        <v>1.2230545788105795E-2</v>
      </c>
      <c r="F69">
        <v>6621</v>
      </c>
      <c r="G69">
        <v>302.26600000000002</v>
      </c>
      <c r="H69" s="4">
        <f t="shared" si="6"/>
        <v>1.2383427610457116E-2</v>
      </c>
      <c r="I69">
        <v>6843</v>
      </c>
      <c r="J69">
        <v>303.108</v>
      </c>
      <c r="K69" s="4">
        <f t="shared" si="7"/>
        <v>4.6323192172450699E-2</v>
      </c>
      <c r="L69">
        <v>6540</v>
      </c>
      <c r="M69">
        <v>301.404</v>
      </c>
      <c r="N69" s="4">
        <f t="shared" si="8"/>
        <v>0</v>
      </c>
    </row>
    <row r="70" spans="1:21" x14ac:dyDescent="0.25">
      <c r="A70" t="s">
        <v>283</v>
      </c>
      <c r="B70">
        <f t="shared" si="9"/>
        <v>12382</v>
      </c>
      <c r="C70">
        <v>12382</v>
      </c>
      <c r="D70">
        <v>302.738</v>
      </c>
      <c r="E70" s="4">
        <f t="shared" si="5"/>
        <v>0</v>
      </c>
      <c r="F70">
        <v>12626</v>
      </c>
      <c r="G70">
        <v>301.053</v>
      </c>
      <c r="H70" s="4">
        <f t="shared" si="6"/>
        <v>1.9704433497536946E-2</v>
      </c>
      <c r="I70">
        <v>12486</v>
      </c>
      <c r="J70">
        <v>390.779</v>
      </c>
      <c r="K70" s="4">
        <f t="shared" si="7"/>
        <v>8.3986109989501734E-3</v>
      </c>
      <c r="L70">
        <v>12574</v>
      </c>
      <c r="M70">
        <v>301.40699999999998</v>
      </c>
      <c r="N70" s="4">
        <f t="shared" si="8"/>
        <v>1.5505127998061859E-2</v>
      </c>
    </row>
    <row r="71" spans="1:21" x14ac:dyDescent="0.25">
      <c r="A71" t="s">
        <v>284</v>
      </c>
      <c r="B71">
        <f t="shared" si="9"/>
        <v>7369</v>
      </c>
      <c r="C71">
        <v>7369</v>
      </c>
      <c r="D71">
        <v>301.387</v>
      </c>
      <c r="E71" s="4">
        <f t="shared" si="5"/>
        <v>0</v>
      </c>
      <c r="F71">
        <v>7395</v>
      </c>
      <c r="G71">
        <v>301.59100000000001</v>
      </c>
      <c r="H71" s="4">
        <f t="shared" si="6"/>
        <v>3.5278154681139757E-3</v>
      </c>
      <c r="I71">
        <v>7377</v>
      </c>
      <c r="J71">
        <v>340.59100000000001</v>
      </c>
      <c r="K71" s="4">
        <f t="shared" si="7"/>
        <v>1.085481682496608E-3</v>
      </c>
      <c r="L71">
        <v>7404</v>
      </c>
      <c r="M71">
        <v>301.05099999999999</v>
      </c>
      <c r="N71" s="4">
        <f t="shared" si="8"/>
        <v>4.7489823609226595E-3</v>
      </c>
    </row>
    <row r="72" spans="1:21" x14ac:dyDescent="0.25">
      <c r="A72" t="s">
        <v>285</v>
      </c>
      <c r="B72">
        <f t="shared" si="9"/>
        <v>21717</v>
      </c>
      <c r="C72">
        <v>22001</v>
      </c>
      <c r="D72">
        <v>329.05200000000002</v>
      </c>
      <c r="E72" s="4">
        <f t="shared" si="5"/>
        <v>1.3076710562666911E-2</v>
      </c>
      <c r="F72">
        <v>22033</v>
      </c>
      <c r="G72">
        <v>309.27499999999998</v>
      </c>
      <c r="H72" s="4">
        <f t="shared" si="6"/>
        <v>1.4550142738742057E-2</v>
      </c>
      <c r="I72">
        <v>22347</v>
      </c>
      <c r="J72">
        <v>315.40699999999998</v>
      </c>
      <c r="K72" s="4">
        <f t="shared" si="7"/>
        <v>2.9008195966479418E-2</v>
      </c>
      <c r="L72">
        <v>21717</v>
      </c>
      <c r="M72">
        <v>304.43200000000002</v>
      </c>
      <c r="N72" s="4">
        <f t="shared" si="8"/>
        <v>0</v>
      </c>
    </row>
    <row r="73" spans="1:21" x14ac:dyDescent="0.25">
      <c r="A73" t="s">
        <v>286</v>
      </c>
      <c r="B73">
        <f t="shared" si="9"/>
        <v>36777</v>
      </c>
      <c r="C73">
        <v>37201</v>
      </c>
      <c r="D73">
        <v>301.209</v>
      </c>
      <c r="E73" s="4">
        <f t="shared" si="5"/>
        <v>1.1528631246941106E-2</v>
      </c>
      <c r="F73">
        <v>36882</v>
      </c>
      <c r="G73">
        <v>301.22300000000001</v>
      </c>
      <c r="H73" s="4">
        <f t="shared" si="6"/>
        <v>2.8549676437000381E-3</v>
      </c>
      <c r="I73">
        <v>37114</v>
      </c>
      <c r="J73">
        <v>301.41300000000001</v>
      </c>
      <c r="K73" s="4">
        <f t="shared" si="7"/>
        <v>9.1630866278753602E-3</v>
      </c>
      <c r="L73">
        <v>36777</v>
      </c>
      <c r="M73">
        <v>304.678</v>
      </c>
      <c r="N73" s="4">
        <f t="shared" si="8"/>
        <v>0</v>
      </c>
    </row>
    <row r="74" spans="1:21" x14ac:dyDescent="0.25">
      <c r="A74" t="s">
        <v>287</v>
      </c>
      <c r="B74">
        <f t="shared" si="9"/>
        <v>20564</v>
      </c>
      <c r="C74">
        <v>20977</v>
      </c>
      <c r="D74">
        <v>305.29300000000001</v>
      </c>
      <c r="E74" s="4">
        <f t="shared" si="5"/>
        <v>2.0082664721614393E-2</v>
      </c>
      <c r="F74">
        <v>20564</v>
      </c>
      <c r="G74">
        <v>304.423</v>
      </c>
      <c r="H74" s="4">
        <f t="shared" si="6"/>
        <v>0</v>
      </c>
      <c r="I74">
        <v>20648</v>
      </c>
      <c r="J74">
        <v>359.93900000000002</v>
      </c>
      <c r="K74" s="4">
        <f t="shared" si="7"/>
        <v>4.084609773887673E-3</v>
      </c>
      <c r="L74">
        <v>20673</v>
      </c>
      <c r="M74">
        <v>311.13299999999998</v>
      </c>
      <c r="N74" s="4">
        <f t="shared" si="8"/>
        <v>5.3002674446875758E-3</v>
      </c>
    </row>
    <row r="75" spans="1:21" x14ac:dyDescent="0.25">
      <c r="A75" t="s">
        <v>333</v>
      </c>
      <c r="B75">
        <f t="shared" si="9"/>
        <v>10098</v>
      </c>
      <c r="C75">
        <v>10098</v>
      </c>
      <c r="D75">
        <v>303.74900000000002</v>
      </c>
      <c r="E75" s="4">
        <f t="shared" si="5"/>
        <v>0</v>
      </c>
      <c r="F75">
        <v>10100</v>
      </c>
      <c r="G75">
        <v>316.79700000000003</v>
      </c>
      <c r="H75" s="4">
        <f t="shared" si="6"/>
        <v>1.9803940984255866E-4</v>
      </c>
      <c r="I75">
        <v>10361</v>
      </c>
      <c r="J75">
        <v>325.52199999999999</v>
      </c>
      <c r="K75" s="4">
        <f t="shared" si="7"/>
        <v>2.6042182394296464E-2</v>
      </c>
      <c r="L75">
        <v>10117</v>
      </c>
      <c r="M75">
        <v>302.40899999999999</v>
      </c>
      <c r="N75" s="4">
        <f t="shared" si="8"/>
        <v>1.8813743935043074E-3</v>
      </c>
    </row>
    <row r="76" spans="1:21" x14ac:dyDescent="0.25">
      <c r="A76" t="s">
        <v>334</v>
      </c>
      <c r="B76">
        <f t="shared" si="9"/>
        <v>17821</v>
      </c>
      <c r="C76">
        <v>18008</v>
      </c>
      <c r="D76">
        <v>356.84300000000002</v>
      </c>
      <c r="E76" s="4">
        <f t="shared" si="5"/>
        <v>1.049264953428347E-2</v>
      </c>
      <c r="F76">
        <v>17821</v>
      </c>
      <c r="G76">
        <v>313.52800000000002</v>
      </c>
      <c r="H76" s="4">
        <f t="shared" si="6"/>
        <v>0</v>
      </c>
      <c r="I76">
        <v>18406</v>
      </c>
      <c r="J76">
        <v>303.435</v>
      </c>
      <c r="K76" s="4">
        <f t="shared" si="7"/>
        <v>3.2824598810458981E-2</v>
      </c>
      <c r="L76">
        <v>18016</v>
      </c>
      <c r="M76">
        <v>301.197</v>
      </c>
      <c r="N76" s="4">
        <f t="shared" si="8"/>
        <v>1.094153293681966E-2</v>
      </c>
    </row>
    <row r="77" spans="1:21" ht="15.75" thickBot="1" x14ac:dyDescent="0.3">
      <c r="A77" t="s">
        <v>335</v>
      </c>
      <c r="B77">
        <f t="shared" si="9"/>
        <v>9793</v>
      </c>
      <c r="C77">
        <v>9820</v>
      </c>
      <c r="D77">
        <v>301.94400000000002</v>
      </c>
      <c r="E77" s="4">
        <f t="shared" si="5"/>
        <v>2.7567898713498061E-3</v>
      </c>
      <c r="F77">
        <v>9793</v>
      </c>
      <c r="G77">
        <v>338.81</v>
      </c>
      <c r="H77" s="4">
        <f t="shared" si="6"/>
        <v>0</v>
      </c>
      <c r="I77">
        <v>10036</v>
      </c>
      <c r="J77">
        <v>301.339</v>
      </c>
      <c r="K77" s="4">
        <f t="shared" si="7"/>
        <v>2.4811108842148256E-2</v>
      </c>
      <c r="L77">
        <v>10167</v>
      </c>
      <c r="M77">
        <v>302.53399999999999</v>
      </c>
      <c r="N77" s="4">
        <f t="shared" si="8"/>
        <v>3.8186644884623241E-2</v>
      </c>
    </row>
    <row r="78" spans="1:21" ht="15.75" thickBot="1" x14ac:dyDescent="0.3">
      <c r="A78" t="s">
        <v>336</v>
      </c>
      <c r="B78">
        <f t="shared" si="9"/>
        <v>84617</v>
      </c>
      <c r="C78">
        <v>86505</v>
      </c>
      <c r="D78">
        <v>319.27100000000002</v>
      </c>
      <c r="E78" s="4">
        <f t="shared" si="5"/>
        <v>2.2312037627927862E-2</v>
      </c>
      <c r="F78">
        <v>84617</v>
      </c>
      <c r="G78">
        <v>307.76400000000001</v>
      </c>
      <c r="H78" s="4">
        <f t="shared" si="6"/>
        <v>0</v>
      </c>
      <c r="I78">
        <v>84988</v>
      </c>
      <c r="J78">
        <v>317.60700000000003</v>
      </c>
      <c r="K78" s="4">
        <f t="shared" si="7"/>
        <v>4.3844099364201469E-3</v>
      </c>
      <c r="L78">
        <v>86607</v>
      </c>
      <c r="M78">
        <v>308.02199999999999</v>
      </c>
      <c r="N78" s="4">
        <f t="shared" si="8"/>
        <v>2.3517454915029899E-2</v>
      </c>
      <c r="Q78" s="40" t="s">
        <v>346</v>
      </c>
      <c r="R78" s="41"/>
      <c r="S78" s="42"/>
    </row>
    <row r="79" spans="1:21" x14ac:dyDescent="0.25">
      <c r="A79" t="s">
        <v>337</v>
      </c>
      <c r="B79">
        <f t="shared" si="9"/>
        <v>139474</v>
      </c>
      <c r="C79">
        <v>139474</v>
      </c>
      <c r="D79">
        <v>302.52199999999999</v>
      </c>
      <c r="E79" s="4">
        <f t="shared" si="5"/>
        <v>0</v>
      </c>
      <c r="F79">
        <v>139484</v>
      </c>
      <c r="G79">
        <v>303.72300000000001</v>
      </c>
      <c r="H79" s="4">
        <f t="shared" si="6"/>
        <v>7.169743681663381E-5</v>
      </c>
      <c r="I79">
        <v>141944</v>
      </c>
      <c r="J79">
        <v>302.90899999999999</v>
      </c>
      <c r="K79" s="4">
        <f t="shared" si="7"/>
        <v>1.7709266893708549E-2</v>
      </c>
      <c r="L79">
        <v>139503</v>
      </c>
      <c r="M79">
        <v>310.92899999999997</v>
      </c>
      <c r="N79" s="4">
        <f t="shared" si="8"/>
        <v>2.0792256676823803E-4</v>
      </c>
      <c r="Q79" s="6"/>
      <c r="R79" s="32" t="str">
        <f>$C$1</f>
        <v>MAB</v>
      </c>
      <c r="S79" s="8" t="str">
        <f>$F$1</f>
        <v>Cliques</v>
      </c>
      <c r="T79" s="8" t="str">
        <f>$I$1</f>
        <v>Louvain</v>
      </c>
      <c r="U79" s="8" t="str">
        <f>$L$1</f>
        <v>Mcallister</v>
      </c>
    </row>
    <row r="80" spans="1:21" x14ac:dyDescent="0.25">
      <c r="A80" t="s">
        <v>338</v>
      </c>
      <c r="B80">
        <f t="shared" si="9"/>
        <v>80744</v>
      </c>
      <c r="C80">
        <v>81438</v>
      </c>
      <c r="D80">
        <v>401.41800000000001</v>
      </c>
      <c r="E80" s="4">
        <f t="shared" si="5"/>
        <v>8.5949594402130163E-3</v>
      </c>
      <c r="F80">
        <v>80744</v>
      </c>
      <c r="G80">
        <v>304.04399999999998</v>
      </c>
      <c r="H80" s="4">
        <f t="shared" si="6"/>
        <v>0</v>
      </c>
      <c r="I80">
        <v>81154</v>
      </c>
      <c r="J80">
        <v>302.14800000000002</v>
      </c>
      <c r="K80" s="4">
        <f t="shared" si="7"/>
        <v>5.0777137903275744E-3</v>
      </c>
      <c r="L80">
        <v>81567</v>
      </c>
      <c r="M80">
        <v>302.60700000000003</v>
      </c>
      <c r="N80" s="4">
        <f t="shared" si="8"/>
        <v>1.019258158399901E-2</v>
      </c>
      <c r="Q80" s="9" t="s">
        <v>3</v>
      </c>
      <c r="R80" s="11">
        <f>AVERAGE(C57:C83)</f>
        <v>48380.740740740737</v>
      </c>
      <c r="S80" s="11">
        <f>AVERAGE(F57:F83)</f>
        <v>48348.481481481482</v>
      </c>
      <c r="T80" s="11">
        <f>AVERAGE(I57:I83)</f>
        <v>48676.814814814818</v>
      </c>
      <c r="U80" s="11">
        <f>AVERAGE(L57:L83)</f>
        <v>48459.851851851854</v>
      </c>
    </row>
    <row r="81" spans="1:21" x14ac:dyDescent="0.25">
      <c r="A81" t="s">
        <v>339</v>
      </c>
      <c r="B81">
        <f t="shared" si="9"/>
        <v>235106</v>
      </c>
      <c r="C81">
        <v>235106</v>
      </c>
      <c r="D81">
        <v>311.12299999999999</v>
      </c>
      <c r="E81" s="4">
        <f t="shared" si="5"/>
        <v>0</v>
      </c>
      <c r="F81">
        <v>237997</v>
      </c>
      <c r="G81">
        <v>304.39</v>
      </c>
      <c r="H81" s="4">
        <f t="shared" si="6"/>
        <v>1.2296528814539763E-2</v>
      </c>
      <c r="I81">
        <v>236077</v>
      </c>
      <c r="J81">
        <v>309.89400000000001</v>
      </c>
      <c r="K81" s="4">
        <f t="shared" si="7"/>
        <v>4.1300344098644448E-3</v>
      </c>
      <c r="L81">
        <v>236264</v>
      </c>
      <c r="M81">
        <v>301.51900000000001</v>
      </c>
      <c r="N81" s="4">
        <f t="shared" si="8"/>
        <v>4.9254169378198012E-3</v>
      </c>
      <c r="Q81" s="9" t="s">
        <v>4</v>
      </c>
      <c r="R81" s="11">
        <f>AVERAGE(D57:D83)</f>
        <v>282.95907407407401</v>
      </c>
      <c r="S81" s="11">
        <f>AVERAGE(G57:G83)</f>
        <v>208.74877777777778</v>
      </c>
      <c r="T81" s="11">
        <f>AVERAGE(J57:J83)</f>
        <v>273.40462962962965</v>
      </c>
      <c r="U81" s="11">
        <f>AVERAGE(M57:M83)</f>
        <v>210.54340740740739</v>
      </c>
    </row>
    <row r="82" spans="1:21" x14ac:dyDescent="0.25">
      <c r="A82" t="s">
        <v>340</v>
      </c>
      <c r="B82">
        <f t="shared" si="9"/>
        <v>384264</v>
      </c>
      <c r="C82">
        <v>384264</v>
      </c>
      <c r="D82">
        <v>313.57100000000003</v>
      </c>
      <c r="E82" s="4">
        <f t="shared" si="5"/>
        <v>0</v>
      </c>
      <c r="F82">
        <v>386006</v>
      </c>
      <c r="G82">
        <v>309.32600000000002</v>
      </c>
      <c r="H82" s="4">
        <f t="shared" si="6"/>
        <v>4.5333298635056533E-3</v>
      </c>
      <c r="I82">
        <v>386645</v>
      </c>
      <c r="J82">
        <v>317.88299999999998</v>
      </c>
      <c r="K82" s="4">
        <f t="shared" si="7"/>
        <v>6.196244778993663E-3</v>
      </c>
      <c r="L82">
        <v>385285</v>
      </c>
      <c r="M82">
        <v>301.20299999999997</v>
      </c>
      <c r="N82" s="4">
        <f t="shared" si="8"/>
        <v>2.6570205457171485E-3</v>
      </c>
      <c r="Q82" s="12" t="s">
        <v>5</v>
      </c>
      <c r="R82" s="43">
        <f>AVERAGE(E57:E83)</f>
        <v>4.2904956124204816E-3</v>
      </c>
      <c r="S82" s="43">
        <f>AVERAGE(H57:H83)</f>
        <v>8.4001133579452769E-2</v>
      </c>
      <c r="T82" s="43">
        <f>AVERAGE(K57:K83)</f>
        <v>0.10268924638788143</v>
      </c>
      <c r="U82" s="43">
        <f>AVERAGE(N57:N83)</f>
        <v>1.1685686104686958E-2</v>
      </c>
    </row>
    <row r="83" spans="1:21" ht="15.75" thickBot="1" x14ac:dyDescent="0.3">
      <c r="A83" s="27" t="s">
        <v>341</v>
      </c>
      <c r="B83">
        <f t="shared" si="9"/>
        <v>228913</v>
      </c>
      <c r="C83">
        <v>231286</v>
      </c>
      <c r="D83">
        <v>310.38900000000001</v>
      </c>
      <c r="E83" s="13">
        <f t="shared" si="5"/>
        <v>1.0366338450247691E-2</v>
      </c>
      <c r="F83">
        <v>228913</v>
      </c>
      <c r="G83">
        <v>301.80599999999998</v>
      </c>
      <c r="H83" s="13">
        <f t="shared" si="6"/>
        <v>0</v>
      </c>
      <c r="I83">
        <v>233950</v>
      </c>
      <c r="J83">
        <v>305.536</v>
      </c>
      <c r="K83" s="13">
        <f t="shared" si="7"/>
        <v>2.2003896659881002E-2</v>
      </c>
      <c r="L83">
        <v>231410</v>
      </c>
      <c r="M83">
        <v>301.93200000000002</v>
      </c>
      <c r="N83" s="13">
        <f t="shared" si="8"/>
        <v>1.0908026595140534E-2</v>
      </c>
      <c r="O83" s="27"/>
      <c r="P83" s="14"/>
      <c r="Q83" s="15" t="s">
        <v>115</v>
      </c>
      <c r="R83" s="17">
        <f>COUNTIF(E57:E83,"=0")</f>
        <v>17</v>
      </c>
      <c r="S83" s="17">
        <f>COUNTIF(H57:H83,"=0")</f>
        <v>10</v>
      </c>
      <c r="T83" s="17">
        <f>COUNTIF(K57:K83,"=0")</f>
        <v>4</v>
      </c>
      <c r="U83" s="17">
        <f>COUNTIF(N57:N83,"=0")</f>
        <v>8</v>
      </c>
    </row>
    <row r="84" spans="1:21" x14ac:dyDescent="0.25">
      <c r="C84" s="33">
        <f t="shared" ref="C84:N84" si="10">AVERAGE(C3:C83)</f>
        <v>71825.518518518526</v>
      </c>
      <c r="D84" s="33">
        <f t="shared" si="10"/>
        <v>231.18348148148155</v>
      </c>
      <c r="E84" s="23">
        <f t="shared" si="10"/>
        <v>74.34846837743369</v>
      </c>
      <c r="F84" s="33">
        <f t="shared" si="10"/>
        <v>71959.839506172837</v>
      </c>
      <c r="G84" s="33">
        <f t="shared" si="10"/>
        <v>176.6659259259259</v>
      </c>
      <c r="H84" s="23">
        <f t="shared" si="10"/>
        <v>194.74502531448897</v>
      </c>
      <c r="I84" s="33">
        <f t="shared" si="10"/>
        <v>72115.1975308642</v>
      </c>
      <c r="J84" s="33">
        <f t="shared" si="10"/>
        <v>211.2900246913581</v>
      </c>
      <c r="K84" s="23">
        <f t="shared" si="10"/>
        <v>33.444404244289352</v>
      </c>
      <c r="L84" s="33">
        <f t="shared" si="10"/>
        <v>72043.444444444438</v>
      </c>
      <c r="M84" s="33">
        <f t="shared" si="10"/>
        <v>187.50771604938271</v>
      </c>
      <c r="N84" s="23">
        <f t="shared" si="10"/>
        <v>142.8810546256986</v>
      </c>
    </row>
    <row r="85" spans="1:21" x14ac:dyDescent="0.25">
      <c r="C85" s="24"/>
      <c r="D85" s="1"/>
      <c r="E85" s="25">
        <f>COUNTIF(E3:E83,"=0")</f>
        <v>55</v>
      </c>
      <c r="F85" s="24"/>
      <c r="G85" s="1"/>
      <c r="H85" s="25">
        <f>COUNTIF(H3:H83,"=0")</f>
        <v>50</v>
      </c>
      <c r="I85" s="24"/>
      <c r="J85" s="1"/>
      <c r="K85" s="25">
        <f>COUNTIF(K3:K83,"=0")</f>
        <v>32</v>
      </c>
      <c r="L85" s="24"/>
      <c r="M85" s="1"/>
      <c r="N85" s="25">
        <f>COUNTIF(N3:N83,"=0")</f>
        <v>38</v>
      </c>
    </row>
    <row r="86" spans="1:21" x14ac:dyDescent="0.25">
      <c r="B86" s="1"/>
      <c r="C86" s="37" t="str">
        <f>C1</f>
        <v>MAB</v>
      </c>
      <c r="D86" s="38"/>
      <c r="E86" s="39"/>
      <c r="F86" s="38" t="str">
        <f>F1</f>
        <v>Cliques</v>
      </c>
      <c r="G86" s="38"/>
      <c r="H86" s="39"/>
      <c r="I86" s="38" t="str">
        <f>I1</f>
        <v>Louvain</v>
      </c>
      <c r="J86" s="38"/>
      <c r="K86" s="39"/>
      <c r="L86" s="38" t="str">
        <f>L1</f>
        <v>Mcallister</v>
      </c>
      <c r="M86" s="38"/>
      <c r="N86" s="39"/>
    </row>
    <row r="87" spans="1:21" x14ac:dyDescent="0.25">
      <c r="B87" s="1" t="s">
        <v>2</v>
      </c>
      <c r="C87" s="1" t="s">
        <v>3</v>
      </c>
      <c r="D87" s="1" t="s">
        <v>4</v>
      </c>
      <c r="E87" s="2" t="s">
        <v>5</v>
      </c>
      <c r="F87" s="1" t="s">
        <v>3</v>
      </c>
      <c r="G87" s="1" t="s">
        <v>4</v>
      </c>
      <c r="H87" s="2" t="s">
        <v>5</v>
      </c>
      <c r="I87" s="1" t="s">
        <v>3</v>
      </c>
      <c r="J87" s="1" t="s">
        <v>4</v>
      </c>
      <c r="K87" s="2" t="s">
        <v>5</v>
      </c>
      <c r="L87" s="1" t="s">
        <v>3</v>
      </c>
      <c r="M87" s="1" t="s">
        <v>4</v>
      </c>
      <c r="N87" s="2" t="s">
        <v>5</v>
      </c>
    </row>
    <row r="88" spans="1:21" ht="15.75" thickBot="1" x14ac:dyDescent="0.3"/>
    <row r="89" spans="1:21" ht="15.75" thickBot="1" x14ac:dyDescent="0.3">
      <c r="Q89" s="40" t="s">
        <v>374</v>
      </c>
      <c r="R89" s="41"/>
      <c r="S89" s="42"/>
    </row>
    <row r="90" spans="1:21" x14ac:dyDescent="0.25">
      <c r="Q90" s="6"/>
      <c r="R90" s="32" t="str">
        <f>$C$1</f>
        <v>MAB</v>
      </c>
      <c r="S90" s="8" t="str">
        <f>$F$1</f>
        <v>Cliques</v>
      </c>
      <c r="T90" s="8" t="str">
        <f>$I$1</f>
        <v>Louvain</v>
      </c>
      <c r="U90" s="8" t="str">
        <f>$L$1</f>
        <v>Mcallister</v>
      </c>
    </row>
    <row r="91" spans="1:21" x14ac:dyDescent="0.25">
      <c r="Q91" s="9" t="s">
        <v>3</v>
      </c>
      <c r="R91" s="11">
        <f>C84</f>
        <v>71825.518518518526</v>
      </c>
      <c r="S91" s="11">
        <f>F84</f>
        <v>71959.839506172837</v>
      </c>
      <c r="T91" s="11">
        <f>I84</f>
        <v>72115.1975308642</v>
      </c>
      <c r="U91" s="11">
        <f>L84</f>
        <v>72043.444444444438</v>
      </c>
    </row>
    <row r="92" spans="1:21" x14ac:dyDescent="0.25">
      <c r="Q92" s="9" t="s">
        <v>4</v>
      </c>
      <c r="R92" s="11">
        <f>D84</f>
        <v>231.18348148148155</v>
      </c>
      <c r="S92" s="11">
        <f>G84</f>
        <v>176.6659259259259</v>
      </c>
      <c r="T92" s="11">
        <f>J84</f>
        <v>211.2900246913581</v>
      </c>
      <c r="U92" s="11">
        <f>M84</f>
        <v>187.50771604938271</v>
      </c>
    </row>
    <row r="93" spans="1:21" x14ac:dyDescent="0.25">
      <c r="Q93" s="12" t="s">
        <v>5</v>
      </c>
      <c r="R93" s="11">
        <f>E84</f>
        <v>74.34846837743369</v>
      </c>
      <c r="S93" s="11">
        <f>H84</f>
        <v>194.74502531448897</v>
      </c>
      <c r="T93" s="11">
        <f>K84</f>
        <v>33.444404244289352</v>
      </c>
      <c r="U93" s="11">
        <f>N84</f>
        <v>142.8810546256986</v>
      </c>
    </row>
    <row r="94" spans="1:21" ht="15.75" thickBot="1" x14ac:dyDescent="0.3">
      <c r="Q94" s="15" t="s">
        <v>115</v>
      </c>
      <c r="R94" s="17">
        <f>E85</f>
        <v>55</v>
      </c>
      <c r="S94" s="17">
        <f>H85</f>
        <v>50</v>
      </c>
      <c r="T94" s="17">
        <f>K85</f>
        <v>32</v>
      </c>
      <c r="U94" s="17">
        <f>N85</f>
        <v>38</v>
      </c>
    </row>
  </sheetData>
  <mergeCells count="12">
    <mergeCell ref="C1:E1"/>
    <mergeCell ref="F1:H1"/>
    <mergeCell ref="I1:K1"/>
    <mergeCell ref="L1:N1"/>
    <mergeCell ref="Q89:S89"/>
    <mergeCell ref="Q24:S24"/>
    <mergeCell ref="Q51:S51"/>
    <mergeCell ref="Q78:S78"/>
    <mergeCell ref="C86:E86"/>
    <mergeCell ref="F86:H86"/>
    <mergeCell ref="I86:K86"/>
    <mergeCell ref="L86:N86"/>
  </mergeCells>
  <conditionalFormatting sqref="O3:O8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91:U9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92:U9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93:U9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94:U9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FBB4E-451F-4F4A-8F16-5208C3472A72}">
  <dimension ref="A1:L353"/>
  <sheetViews>
    <sheetView topLeftCell="A61" workbookViewId="0">
      <selection activeCell="F1" sqref="F1:H1"/>
    </sheetView>
  </sheetViews>
  <sheetFormatPr defaultRowHeight="15" x14ac:dyDescent="0.25"/>
  <cols>
    <col min="1" max="1" width="30.140625" bestFit="1" customWidth="1"/>
    <col min="5" max="5" width="12.140625" bestFit="1" customWidth="1"/>
    <col min="10" max="10" width="6.7109375" bestFit="1" customWidth="1"/>
    <col min="11" max="11" width="10.140625" bestFit="1" customWidth="1"/>
    <col min="12" max="12" width="9.7109375" bestFit="1" customWidth="1"/>
  </cols>
  <sheetData>
    <row r="1" spans="1:8" x14ac:dyDescent="0.25">
      <c r="A1" s="1"/>
      <c r="B1" s="1"/>
      <c r="C1" s="38" t="s">
        <v>352</v>
      </c>
      <c r="D1" s="38"/>
      <c r="E1" s="39"/>
      <c r="F1" s="38" t="s">
        <v>0</v>
      </c>
      <c r="G1" s="38"/>
      <c r="H1" s="39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1" t="s">
        <v>3</v>
      </c>
      <c r="G2" s="1" t="s">
        <v>4</v>
      </c>
      <c r="H2" s="2" t="s">
        <v>5</v>
      </c>
    </row>
    <row r="3" spans="1:8" x14ac:dyDescent="0.25">
      <c r="A3" s="3" t="s">
        <v>6</v>
      </c>
      <c r="B3" s="1">
        <f>MIN(C3,F3)</f>
        <v>0</v>
      </c>
      <c r="C3">
        <v>0</v>
      </c>
      <c r="D3" s="26">
        <v>1E-3</v>
      </c>
      <c r="E3" s="4">
        <f t="shared" ref="E3:E66" si="0">(C3-$B3)/(1+$B3)</f>
        <v>0</v>
      </c>
      <c r="F3">
        <v>0</v>
      </c>
      <c r="G3" s="26">
        <v>1.7000000000000001E-2</v>
      </c>
      <c r="H3" s="4">
        <f t="shared" ref="H3:H66" si="1">(F3-$B3)/(1+$B3)</f>
        <v>0</v>
      </c>
    </row>
    <row r="4" spans="1:8" x14ac:dyDescent="0.25">
      <c r="A4" s="5" t="s">
        <v>7</v>
      </c>
      <c r="B4" s="1">
        <f t="shared" ref="B4:B67" si="2">MIN(C4,F4)</f>
        <v>10</v>
      </c>
      <c r="C4">
        <v>10</v>
      </c>
      <c r="D4" s="26">
        <v>301</v>
      </c>
      <c r="E4" s="4">
        <f t="shared" si="0"/>
        <v>0</v>
      </c>
      <c r="F4">
        <v>10</v>
      </c>
      <c r="G4" s="26">
        <v>301.00900000000001</v>
      </c>
      <c r="H4" s="4">
        <f t="shared" si="1"/>
        <v>0</v>
      </c>
    </row>
    <row r="5" spans="1:8" x14ac:dyDescent="0.25">
      <c r="A5" s="3" t="s">
        <v>8</v>
      </c>
      <c r="B5" s="1">
        <f t="shared" si="2"/>
        <v>10</v>
      </c>
      <c r="C5">
        <v>10</v>
      </c>
      <c r="D5" s="26">
        <v>301</v>
      </c>
      <c r="E5" s="4">
        <f t="shared" si="0"/>
        <v>0</v>
      </c>
      <c r="F5">
        <v>10</v>
      </c>
      <c r="G5" s="26">
        <v>301.00400000000002</v>
      </c>
      <c r="H5" s="4">
        <f t="shared" si="1"/>
        <v>0</v>
      </c>
    </row>
    <row r="6" spans="1:8" x14ac:dyDescent="0.25">
      <c r="A6" s="5" t="s">
        <v>9</v>
      </c>
      <c r="B6" s="1">
        <f t="shared" si="2"/>
        <v>8</v>
      </c>
      <c r="C6">
        <v>8</v>
      </c>
      <c r="D6" s="26">
        <v>301</v>
      </c>
      <c r="E6" s="4">
        <f t="shared" si="0"/>
        <v>0</v>
      </c>
      <c r="F6">
        <v>8</v>
      </c>
      <c r="G6" s="26">
        <v>301.01</v>
      </c>
      <c r="H6" s="4">
        <f t="shared" si="1"/>
        <v>0</v>
      </c>
    </row>
    <row r="7" spans="1:8" x14ac:dyDescent="0.25">
      <c r="A7" s="3" t="s">
        <v>10</v>
      </c>
      <c r="B7" s="1">
        <f t="shared" si="2"/>
        <v>12</v>
      </c>
      <c r="C7">
        <v>12</v>
      </c>
      <c r="D7" s="26">
        <v>301</v>
      </c>
      <c r="E7" s="4">
        <f t="shared" si="0"/>
        <v>0</v>
      </c>
      <c r="F7">
        <v>12</v>
      </c>
      <c r="G7" s="26">
        <v>301.01</v>
      </c>
      <c r="H7" s="4">
        <f t="shared" si="1"/>
        <v>0</v>
      </c>
    </row>
    <row r="8" spans="1:8" x14ac:dyDescent="0.25">
      <c r="A8" s="5" t="s">
        <v>11</v>
      </c>
      <c r="B8" s="1">
        <f t="shared" si="2"/>
        <v>4</v>
      </c>
      <c r="C8">
        <v>4</v>
      </c>
      <c r="D8" s="26">
        <v>301</v>
      </c>
      <c r="E8" s="4">
        <f t="shared" si="0"/>
        <v>0</v>
      </c>
      <c r="F8">
        <v>4</v>
      </c>
      <c r="G8" s="26">
        <v>301.00299999999999</v>
      </c>
      <c r="H8" s="4">
        <f t="shared" si="1"/>
        <v>0</v>
      </c>
    </row>
    <row r="9" spans="1:8" x14ac:dyDescent="0.25">
      <c r="A9" s="3" t="s">
        <v>12</v>
      </c>
      <c r="B9" s="1">
        <f t="shared" si="2"/>
        <v>0</v>
      </c>
      <c r="C9">
        <v>0</v>
      </c>
      <c r="D9" s="26">
        <v>1E-3</v>
      </c>
      <c r="E9" s="4">
        <f t="shared" si="0"/>
        <v>0</v>
      </c>
      <c r="F9">
        <v>0</v>
      </c>
      <c r="G9" s="26">
        <v>1.4999999999999999E-2</v>
      </c>
      <c r="H9" s="4">
        <f t="shared" si="1"/>
        <v>0</v>
      </c>
    </row>
    <row r="10" spans="1:8" x14ac:dyDescent="0.25">
      <c r="A10" s="5" t="s">
        <v>13</v>
      </c>
      <c r="B10" s="1">
        <f t="shared" si="2"/>
        <v>10</v>
      </c>
      <c r="C10">
        <v>10</v>
      </c>
      <c r="D10" s="26">
        <v>301</v>
      </c>
      <c r="E10" s="4">
        <f t="shared" si="0"/>
        <v>0</v>
      </c>
      <c r="F10">
        <v>10</v>
      </c>
      <c r="G10" s="26">
        <v>301.00799999999998</v>
      </c>
      <c r="H10" s="4">
        <f t="shared" si="1"/>
        <v>0</v>
      </c>
    </row>
    <row r="11" spans="1:8" x14ac:dyDescent="0.25">
      <c r="A11" s="3" t="s">
        <v>14</v>
      </c>
      <c r="B11" s="1">
        <f t="shared" si="2"/>
        <v>2</v>
      </c>
      <c r="C11">
        <v>2</v>
      </c>
      <c r="D11" s="26">
        <v>301</v>
      </c>
      <c r="E11" s="4">
        <f t="shared" si="0"/>
        <v>0</v>
      </c>
      <c r="F11">
        <v>2</v>
      </c>
      <c r="G11" s="26">
        <v>301.005</v>
      </c>
      <c r="H11" s="4">
        <f t="shared" si="1"/>
        <v>0</v>
      </c>
    </row>
    <row r="12" spans="1:8" x14ac:dyDescent="0.25">
      <c r="A12" s="5" t="s">
        <v>15</v>
      </c>
      <c r="B12" s="1">
        <f t="shared" si="2"/>
        <v>400</v>
      </c>
      <c r="C12">
        <v>400</v>
      </c>
      <c r="D12" s="26">
        <v>301.00400000000002</v>
      </c>
      <c r="E12" s="4">
        <f t="shared" si="0"/>
        <v>0</v>
      </c>
      <c r="F12">
        <v>400</v>
      </c>
      <c r="G12" s="26">
        <v>301.15100000000001</v>
      </c>
      <c r="H12" s="4">
        <f t="shared" si="1"/>
        <v>0</v>
      </c>
    </row>
    <row r="13" spans="1:8" x14ac:dyDescent="0.25">
      <c r="A13" s="3" t="s">
        <v>16</v>
      </c>
      <c r="B13" s="1">
        <f t="shared" si="2"/>
        <v>820</v>
      </c>
      <c r="C13">
        <v>820</v>
      </c>
      <c r="D13" s="26">
        <v>301</v>
      </c>
      <c r="E13" s="4">
        <f t="shared" si="0"/>
        <v>0</v>
      </c>
      <c r="F13">
        <v>820</v>
      </c>
      <c r="G13" s="26">
        <v>301.072</v>
      </c>
      <c r="H13" s="4">
        <f t="shared" si="1"/>
        <v>0</v>
      </c>
    </row>
    <row r="14" spans="1:8" x14ac:dyDescent="0.25">
      <c r="A14" s="5" t="s">
        <v>17</v>
      </c>
      <c r="B14" s="1">
        <f t="shared" si="2"/>
        <v>464</v>
      </c>
      <c r="C14">
        <v>464</v>
      </c>
      <c r="D14" s="26">
        <v>301.00099999999998</v>
      </c>
      <c r="E14" s="4">
        <f t="shared" si="0"/>
        <v>0</v>
      </c>
      <c r="F14">
        <v>464</v>
      </c>
      <c r="G14" s="26">
        <v>301.06599999999997</v>
      </c>
      <c r="H14" s="4">
        <f t="shared" si="1"/>
        <v>0</v>
      </c>
    </row>
    <row r="15" spans="1:8" x14ac:dyDescent="0.25">
      <c r="A15" s="3" t="s">
        <v>18</v>
      </c>
      <c r="B15" s="1">
        <f t="shared" si="2"/>
        <v>399</v>
      </c>
      <c r="C15">
        <v>399</v>
      </c>
      <c r="D15" s="26">
        <v>301.00200000000001</v>
      </c>
      <c r="E15" s="4">
        <f t="shared" si="0"/>
        <v>0</v>
      </c>
      <c r="F15">
        <v>399</v>
      </c>
      <c r="G15" s="26">
        <v>301.161</v>
      </c>
      <c r="H15" s="4">
        <f t="shared" si="1"/>
        <v>0</v>
      </c>
    </row>
    <row r="16" spans="1:8" x14ac:dyDescent="0.25">
      <c r="A16" s="5" t="s">
        <v>19</v>
      </c>
      <c r="B16" s="1">
        <f t="shared" si="2"/>
        <v>768</v>
      </c>
      <c r="C16">
        <v>768</v>
      </c>
      <c r="D16" s="26">
        <v>301.017</v>
      </c>
      <c r="E16" s="4">
        <f t="shared" si="0"/>
        <v>0</v>
      </c>
      <c r="F16">
        <v>768</v>
      </c>
      <c r="G16" s="26">
        <v>301.03199999999998</v>
      </c>
      <c r="H16" s="4">
        <f t="shared" si="1"/>
        <v>0</v>
      </c>
    </row>
    <row r="17" spans="1:8" x14ac:dyDescent="0.25">
      <c r="A17" s="3" t="s">
        <v>20</v>
      </c>
      <c r="B17" s="1">
        <f t="shared" si="2"/>
        <v>386</v>
      </c>
      <c r="C17">
        <v>386</v>
      </c>
      <c r="D17" s="26">
        <v>301.00099999999998</v>
      </c>
      <c r="E17" s="4">
        <f t="shared" si="0"/>
        <v>0</v>
      </c>
      <c r="F17">
        <v>386</v>
      </c>
      <c r="G17" s="26">
        <v>301.10500000000002</v>
      </c>
      <c r="H17" s="4">
        <f t="shared" si="1"/>
        <v>0</v>
      </c>
    </row>
    <row r="18" spans="1:8" x14ac:dyDescent="0.25">
      <c r="A18" s="5" t="s">
        <v>21</v>
      </c>
      <c r="B18" s="1">
        <f t="shared" si="2"/>
        <v>388</v>
      </c>
      <c r="C18">
        <v>388</v>
      </c>
      <c r="D18" s="26">
        <v>301.01</v>
      </c>
      <c r="E18" s="4">
        <f t="shared" si="0"/>
        <v>0</v>
      </c>
      <c r="F18">
        <v>388</v>
      </c>
      <c r="G18" s="26">
        <v>301.03199999999998</v>
      </c>
      <c r="H18" s="4">
        <f t="shared" si="1"/>
        <v>0</v>
      </c>
    </row>
    <row r="19" spans="1:8" x14ac:dyDescent="0.25">
      <c r="A19" s="3" t="s">
        <v>22</v>
      </c>
      <c r="B19" s="1">
        <f t="shared" si="2"/>
        <v>755</v>
      </c>
      <c r="C19">
        <v>755</v>
      </c>
      <c r="D19" s="26">
        <v>301.00099999999998</v>
      </c>
      <c r="E19" s="4">
        <f t="shared" si="0"/>
        <v>0</v>
      </c>
      <c r="F19">
        <v>755</v>
      </c>
      <c r="G19" s="26">
        <v>301.15699999999998</v>
      </c>
      <c r="H19" s="4">
        <f t="shared" si="1"/>
        <v>0</v>
      </c>
    </row>
    <row r="20" spans="1:8" x14ac:dyDescent="0.25">
      <c r="A20" s="5" t="s">
        <v>23</v>
      </c>
      <c r="B20" s="1">
        <f t="shared" si="2"/>
        <v>406</v>
      </c>
      <c r="C20">
        <v>406</v>
      </c>
      <c r="D20" s="26">
        <v>301.00700000000001</v>
      </c>
      <c r="E20" s="4">
        <f t="shared" si="0"/>
        <v>0</v>
      </c>
      <c r="F20">
        <v>406</v>
      </c>
      <c r="G20" s="26">
        <v>301.005</v>
      </c>
      <c r="H20" s="4">
        <f t="shared" si="1"/>
        <v>0</v>
      </c>
    </row>
    <row r="21" spans="1:8" x14ac:dyDescent="0.25">
      <c r="A21" s="3" t="s">
        <v>24</v>
      </c>
      <c r="B21" s="1">
        <f t="shared" si="2"/>
        <v>2486</v>
      </c>
      <c r="C21">
        <v>2500</v>
      </c>
      <c r="D21" s="26">
        <v>301.09899999999999</v>
      </c>
      <c r="E21" s="4">
        <f t="shared" si="0"/>
        <v>5.6292722155207075E-3</v>
      </c>
      <c r="F21">
        <v>2486</v>
      </c>
      <c r="G21" s="26">
        <v>302.55399999999997</v>
      </c>
      <c r="H21" s="4">
        <f t="shared" si="1"/>
        <v>0</v>
      </c>
    </row>
    <row r="22" spans="1:8" x14ac:dyDescent="0.25">
      <c r="A22" s="5" t="s">
        <v>25</v>
      </c>
      <c r="B22" s="1">
        <f t="shared" si="2"/>
        <v>4541</v>
      </c>
      <c r="C22">
        <v>4541</v>
      </c>
      <c r="D22" s="26">
        <v>301.00200000000001</v>
      </c>
      <c r="E22" s="4">
        <f t="shared" si="0"/>
        <v>0</v>
      </c>
      <c r="F22">
        <v>4543</v>
      </c>
      <c r="G22" s="26">
        <v>301.48200000000003</v>
      </c>
      <c r="H22" s="4">
        <f t="shared" si="1"/>
        <v>4.4033465433729633E-4</v>
      </c>
    </row>
    <row r="23" spans="1:8" x14ac:dyDescent="0.25">
      <c r="A23" s="3" t="s">
        <v>26</v>
      </c>
      <c r="B23" s="1">
        <f t="shared" si="2"/>
        <v>2715</v>
      </c>
      <c r="C23">
        <v>2715</v>
      </c>
      <c r="D23" s="26">
        <v>301.048</v>
      </c>
      <c r="E23" s="4">
        <f t="shared" si="0"/>
        <v>0</v>
      </c>
      <c r="F23">
        <v>2722</v>
      </c>
      <c r="G23" s="26">
        <v>301.41399999999999</v>
      </c>
      <c r="H23" s="4">
        <f t="shared" si="1"/>
        <v>2.5773195876288659E-3</v>
      </c>
    </row>
    <row r="24" spans="1:8" x14ac:dyDescent="0.25">
      <c r="A24" s="5" t="s">
        <v>27</v>
      </c>
      <c r="B24" s="1">
        <f t="shared" si="2"/>
        <v>2311</v>
      </c>
      <c r="C24">
        <v>2311</v>
      </c>
      <c r="D24" s="26">
        <v>301.01299999999998</v>
      </c>
      <c r="E24" s="4">
        <f t="shared" si="0"/>
        <v>0</v>
      </c>
      <c r="F24">
        <v>2314</v>
      </c>
      <c r="G24" s="26">
        <v>302.24700000000001</v>
      </c>
      <c r="H24" s="4">
        <f t="shared" si="1"/>
        <v>1.2975778546712802E-3</v>
      </c>
    </row>
    <row r="25" spans="1:8" x14ac:dyDescent="0.25">
      <c r="A25" s="3" t="s">
        <v>28</v>
      </c>
      <c r="B25" s="1">
        <f t="shared" si="2"/>
        <v>4406</v>
      </c>
      <c r="C25">
        <v>4406</v>
      </c>
      <c r="D25" s="26">
        <v>301.00299999999999</v>
      </c>
      <c r="E25" s="4">
        <f t="shared" si="0"/>
        <v>0</v>
      </c>
      <c r="F25">
        <v>4406</v>
      </c>
      <c r="G25" s="26">
        <v>301.02800000000002</v>
      </c>
      <c r="H25" s="4">
        <f t="shared" si="1"/>
        <v>0</v>
      </c>
    </row>
    <row r="26" spans="1:8" x14ac:dyDescent="0.25">
      <c r="A26" s="5" t="s">
        <v>29</v>
      </c>
      <c r="B26" s="1">
        <f t="shared" si="2"/>
        <v>2408</v>
      </c>
      <c r="C26">
        <v>2408</v>
      </c>
      <c r="D26" s="26">
        <v>301.00400000000002</v>
      </c>
      <c r="E26" s="4">
        <f t="shared" si="0"/>
        <v>0</v>
      </c>
      <c r="F26">
        <v>2459</v>
      </c>
      <c r="G26" s="26">
        <v>302.54000000000002</v>
      </c>
      <c r="H26" s="4">
        <f t="shared" si="1"/>
        <v>2.1170610211706103E-2</v>
      </c>
    </row>
    <row r="27" spans="1:8" x14ac:dyDescent="0.25">
      <c r="A27" s="3" t="s">
        <v>30</v>
      </c>
      <c r="B27" s="1">
        <f t="shared" si="2"/>
        <v>2446</v>
      </c>
      <c r="C27">
        <v>2475</v>
      </c>
      <c r="D27" s="26">
        <v>301.10700000000003</v>
      </c>
      <c r="E27" s="4">
        <f t="shared" si="0"/>
        <v>1.1851246424192888E-2</v>
      </c>
      <c r="F27">
        <v>2446</v>
      </c>
      <c r="G27" s="26">
        <v>302.10000000000002</v>
      </c>
      <c r="H27" s="4">
        <f t="shared" si="1"/>
        <v>0</v>
      </c>
    </row>
    <row r="28" spans="1:8" x14ac:dyDescent="0.25">
      <c r="A28" s="5" t="s">
        <v>31</v>
      </c>
      <c r="B28" s="1">
        <f t="shared" si="2"/>
        <v>4580</v>
      </c>
      <c r="C28">
        <v>4581</v>
      </c>
      <c r="D28" s="26">
        <v>301.00599999999997</v>
      </c>
      <c r="E28" s="4">
        <f t="shared" si="0"/>
        <v>2.1829294913774285E-4</v>
      </c>
      <c r="F28">
        <v>4580</v>
      </c>
      <c r="G28" s="26">
        <v>301.54599999999999</v>
      </c>
      <c r="H28" s="4">
        <f t="shared" si="1"/>
        <v>0</v>
      </c>
    </row>
    <row r="29" spans="1:8" x14ac:dyDescent="0.25">
      <c r="A29" s="3" t="s">
        <v>32</v>
      </c>
      <c r="B29" s="1">
        <f t="shared" si="2"/>
        <v>2526</v>
      </c>
      <c r="C29">
        <v>2526</v>
      </c>
      <c r="D29" s="26">
        <v>301.02800000000002</v>
      </c>
      <c r="E29" s="4">
        <f t="shared" si="0"/>
        <v>0</v>
      </c>
      <c r="F29">
        <v>2526</v>
      </c>
      <c r="G29" s="26">
        <v>301.40100000000001</v>
      </c>
      <c r="H29" s="4">
        <f t="shared" si="1"/>
        <v>0</v>
      </c>
    </row>
    <row r="30" spans="1:8" x14ac:dyDescent="0.25">
      <c r="A30" s="5" t="s">
        <v>33</v>
      </c>
      <c r="B30" s="1">
        <f t="shared" si="2"/>
        <v>8202</v>
      </c>
      <c r="C30">
        <v>8319</v>
      </c>
      <c r="D30" s="26">
        <v>301.18599999999998</v>
      </c>
      <c r="E30" s="4">
        <f t="shared" si="0"/>
        <v>1.4263074484944533E-2</v>
      </c>
      <c r="F30">
        <v>8202</v>
      </c>
      <c r="G30" s="26">
        <v>316.99099999999999</v>
      </c>
      <c r="H30" s="4">
        <f t="shared" si="1"/>
        <v>0</v>
      </c>
    </row>
    <row r="31" spans="1:8" x14ac:dyDescent="0.25">
      <c r="A31" s="3" t="s">
        <v>34</v>
      </c>
      <c r="B31" s="1">
        <f t="shared" si="2"/>
        <v>13753</v>
      </c>
      <c r="C31">
        <v>13868</v>
      </c>
      <c r="D31" s="26">
        <v>301.262</v>
      </c>
      <c r="E31" s="4">
        <f t="shared" si="0"/>
        <v>8.3612040133779261E-3</v>
      </c>
      <c r="F31">
        <v>13753</v>
      </c>
      <c r="G31" s="26">
        <v>301.09500000000003</v>
      </c>
      <c r="H31" s="4">
        <f t="shared" si="1"/>
        <v>0</v>
      </c>
    </row>
    <row r="32" spans="1:8" x14ac:dyDescent="0.25">
      <c r="A32" s="5" t="s">
        <v>35</v>
      </c>
      <c r="B32" s="1">
        <f t="shared" si="2"/>
        <v>7628</v>
      </c>
      <c r="C32">
        <v>7628</v>
      </c>
      <c r="D32" s="26">
        <v>301.00700000000001</v>
      </c>
      <c r="E32" s="4">
        <f t="shared" si="0"/>
        <v>0</v>
      </c>
      <c r="F32">
        <v>7682</v>
      </c>
      <c r="G32" s="26">
        <v>305.45299999999997</v>
      </c>
      <c r="H32" s="4">
        <f t="shared" si="1"/>
        <v>7.0782540306724342E-3</v>
      </c>
    </row>
    <row r="33" spans="1:8" x14ac:dyDescent="0.25">
      <c r="A33" s="3" t="s">
        <v>36</v>
      </c>
      <c r="B33" s="1">
        <f t="shared" si="2"/>
        <v>7195</v>
      </c>
      <c r="C33">
        <v>7324</v>
      </c>
      <c r="D33" s="26">
        <v>301.03800000000001</v>
      </c>
      <c r="E33" s="4">
        <f t="shared" si="0"/>
        <v>1.7926625903279599E-2</v>
      </c>
      <c r="F33">
        <v>7195</v>
      </c>
      <c r="G33" s="26">
        <v>314.358</v>
      </c>
      <c r="H33" s="4">
        <f t="shared" si="1"/>
        <v>0</v>
      </c>
    </row>
    <row r="34" spans="1:8" x14ac:dyDescent="0.25">
      <c r="A34" s="5" t="s">
        <v>37</v>
      </c>
      <c r="B34" s="1">
        <f t="shared" si="2"/>
        <v>13574</v>
      </c>
      <c r="C34">
        <v>13574</v>
      </c>
      <c r="D34" s="26">
        <v>301.12299999999999</v>
      </c>
      <c r="E34" s="4">
        <f t="shared" si="0"/>
        <v>0</v>
      </c>
      <c r="F34">
        <v>13594</v>
      </c>
      <c r="G34" s="26">
        <v>302.02999999999997</v>
      </c>
      <c r="H34" s="4">
        <f t="shared" si="1"/>
        <v>1.4732965009208103E-3</v>
      </c>
    </row>
    <row r="35" spans="1:8" x14ac:dyDescent="0.25">
      <c r="A35" s="3" t="s">
        <v>38</v>
      </c>
      <c r="B35" s="1">
        <f t="shared" si="2"/>
        <v>8011</v>
      </c>
      <c r="C35">
        <v>8011</v>
      </c>
      <c r="D35" s="26">
        <v>301.10199999999998</v>
      </c>
      <c r="E35" s="4">
        <f t="shared" si="0"/>
        <v>0</v>
      </c>
      <c r="F35">
        <v>8038</v>
      </c>
      <c r="G35" s="26">
        <v>301.11399999999998</v>
      </c>
      <c r="H35" s="4">
        <f t="shared" si="1"/>
        <v>3.3699450823764352E-3</v>
      </c>
    </row>
    <row r="36" spans="1:8" x14ac:dyDescent="0.25">
      <c r="A36" s="5" t="s">
        <v>39</v>
      </c>
      <c r="B36" s="1">
        <f t="shared" si="2"/>
        <v>7914</v>
      </c>
      <c r="C36">
        <v>7914</v>
      </c>
      <c r="D36" s="26">
        <v>301.44600000000003</v>
      </c>
      <c r="E36" s="4">
        <f t="shared" si="0"/>
        <v>0</v>
      </c>
      <c r="F36">
        <v>7967</v>
      </c>
      <c r="G36" s="26">
        <v>311.14600000000002</v>
      </c>
      <c r="H36" s="4">
        <f t="shared" si="1"/>
        <v>6.6961465571699309E-3</v>
      </c>
    </row>
    <row r="37" spans="1:8" x14ac:dyDescent="0.25">
      <c r="A37" s="3" t="s">
        <v>40</v>
      </c>
      <c r="B37" s="1">
        <f t="shared" si="2"/>
        <v>13541</v>
      </c>
      <c r="C37">
        <v>13779</v>
      </c>
      <c r="D37" s="26">
        <v>301.05200000000002</v>
      </c>
      <c r="E37" s="4">
        <f t="shared" si="0"/>
        <v>1.7574952001181511E-2</v>
      </c>
      <c r="F37">
        <v>13541</v>
      </c>
      <c r="G37" s="26">
        <v>302.495</v>
      </c>
      <c r="H37" s="4">
        <f t="shared" si="1"/>
        <v>0</v>
      </c>
    </row>
    <row r="38" spans="1:8" x14ac:dyDescent="0.25">
      <c r="A38" s="5" t="s">
        <v>41</v>
      </c>
      <c r="B38" s="1">
        <f t="shared" si="2"/>
        <v>7627</v>
      </c>
      <c r="C38">
        <v>7627</v>
      </c>
      <c r="D38" s="26">
        <v>301.05200000000002</v>
      </c>
      <c r="E38" s="4">
        <f t="shared" si="0"/>
        <v>0</v>
      </c>
      <c r="F38">
        <v>7647</v>
      </c>
      <c r="G38" s="26">
        <v>301.96899999999999</v>
      </c>
      <c r="H38" s="4">
        <f t="shared" si="1"/>
        <v>2.6219192448872575E-3</v>
      </c>
    </row>
    <row r="39" spans="1:8" x14ac:dyDescent="0.25">
      <c r="A39" s="3" t="s">
        <v>42</v>
      </c>
      <c r="B39" s="1">
        <f t="shared" si="2"/>
        <v>17610</v>
      </c>
      <c r="C39">
        <v>17707</v>
      </c>
      <c r="D39" s="26">
        <v>301.68299999999999</v>
      </c>
      <c r="E39" s="4">
        <f t="shared" si="0"/>
        <v>5.5079211856226221E-3</v>
      </c>
      <c r="F39">
        <v>17610</v>
      </c>
      <c r="G39" s="26">
        <v>313.11399999999998</v>
      </c>
      <c r="H39" s="4">
        <f t="shared" si="1"/>
        <v>0</v>
      </c>
    </row>
    <row r="40" spans="1:8" x14ac:dyDescent="0.25">
      <c r="A40" s="5" t="s">
        <v>43</v>
      </c>
      <c r="B40" s="1">
        <f t="shared" si="2"/>
        <v>31184</v>
      </c>
      <c r="C40">
        <v>31184</v>
      </c>
      <c r="D40" s="26">
        <v>301.13799999999998</v>
      </c>
      <c r="E40" s="4">
        <f t="shared" si="0"/>
        <v>0</v>
      </c>
      <c r="F40">
        <v>31381</v>
      </c>
      <c r="G40" s="26">
        <v>304.82799999999997</v>
      </c>
      <c r="H40" s="4">
        <f t="shared" si="1"/>
        <v>6.3171396504729839E-3</v>
      </c>
    </row>
    <row r="41" spans="1:8" x14ac:dyDescent="0.25">
      <c r="A41" s="3" t="s">
        <v>44</v>
      </c>
      <c r="B41" s="1">
        <f t="shared" si="2"/>
        <v>18746</v>
      </c>
      <c r="C41">
        <v>18746</v>
      </c>
      <c r="D41" s="26">
        <v>301.21699999999998</v>
      </c>
      <c r="E41" s="4">
        <f t="shared" si="0"/>
        <v>0</v>
      </c>
      <c r="F41">
        <v>18820</v>
      </c>
      <c r="G41" s="26">
        <v>301.07799999999997</v>
      </c>
      <c r="H41" s="4">
        <f t="shared" si="1"/>
        <v>3.9472982343841684E-3</v>
      </c>
    </row>
    <row r="42" spans="1:8" x14ac:dyDescent="0.25">
      <c r="A42" s="5" t="s">
        <v>45</v>
      </c>
      <c r="B42" s="1">
        <f t="shared" si="2"/>
        <v>18292</v>
      </c>
      <c r="C42">
        <v>18292</v>
      </c>
      <c r="D42" s="26">
        <v>301.01299999999998</v>
      </c>
      <c r="E42" s="4">
        <f t="shared" si="0"/>
        <v>0</v>
      </c>
      <c r="F42">
        <v>18395</v>
      </c>
      <c r="G42" s="26">
        <v>314.03899999999999</v>
      </c>
      <c r="H42" s="4">
        <f t="shared" si="1"/>
        <v>5.6305690701361176E-3</v>
      </c>
    </row>
    <row r="43" spans="1:8" x14ac:dyDescent="0.25">
      <c r="A43" s="3" t="s">
        <v>46</v>
      </c>
      <c r="B43" s="1">
        <f t="shared" si="2"/>
        <v>31012</v>
      </c>
      <c r="C43">
        <v>31012</v>
      </c>
      <c r="D43" s="26">
        <v>301.44600000000003</v>
      </c>
      <c r="E43" s="4">
        <f t="shared" si="0"/>
        <v>0</v>
      </c>
      <c r="F43">
        <v>31194</v>
      </c>
      <c r="G43" s="26">
        <v>301.452</v>
      </c>
      <c r="H43" s="4">
        <f t="shared" si="1"/>
        <v>5.8685067552316774E-3</v>
      </c>
    </row>
    <row r="44" spans="1:8" x14ac:dyDescent="0.25">
      <c r="A44" s="5" t="s">
        <v>47</v>
      </c>
      <c r="B44" s="1">
        <f t="shared" si="2"/>
        <v>17390</v>
      </c>
      <c r="C44">
        <v>17653</v>
      </c>
      <c r="D44" s="26">
        <v>302.06599999999997</v>
      </c>
      <c r="E44" s="4">
        <f t="shared" si="0"/>
        <v>1.5122764648381347E-2</v>
      </c>
      <c r="F44">
        <v>17390</v>
      </c>
      <c r="G44" s="26">
        <v>302.18099999999998</v>
      </c>
      <c r="H44" s="4">
        <f t="shared" si="1"/>
        <v>0</v>
      </c>
    </row>
    <row r="45" spans="1:8" x14ac:dyDescent="0.25">
      <c r="A45" s="3" t="s">
        <v>48</v>
      </c>
      <c r="B45" s="1">
        <f t="shared" si="2"/>
        <v>17611</v>
      </c>
      <c r="C45">
        <v>17902</v>
      </c>
      <c r="D45" s="26">
        <v>301.08300000000003</v>
      </c>
      <c r="E45" s="4">
        <f t="shared" si="0"/>
        <v>1.6522825346354759E-2</v>
      </c>
      <c r="F45">
        <v>17611</v>
      </c>
      <c r="G45" s="26">
        <v>310.66500000000002</v>
      </c>
      <c r="H45" s="4">
        <f t="shared" si="1"/>
        <v>0</v>
      </c>
    </row>
    <row r="46" spans="1:8" x14ac:dyDescent="0.25">
      <c r="A46" s="5" t="s">
        <v>49</v>
      </c>
      <c r="B46" s="1">
        <f t="shared" si="2"/>
        <v>31628</v>
      </c>
      <c r="C46">
        <v>31956</v>
      </c>
      <c r="D46" s="26">
        <v>301.76499999999999</v>
      </c>
      <c r="E46" s="4">
        <f t="shared" si="0"/>
        <v>1.0370229852350692E-2</v>
      </c>
      <c r="F46">
        <v>31628</v>
      </c>
      <c r="G46" s="26">
        <v>302.21300000000002</v>
      </c>
      <c r="H46" s="4">
        <f t="shared" si="1"/>
        <v>0</v>
      </c>
    </row>
    <row r="47" spans="1:8" x14ac:dyDescent="0.25">
      <c r="A47" s="3" t="s">
        <v>50</v>
      </c>
      <c r="B47" s="1">
        <f t="shared" si="2"/>
        <v>17878</v>
      </c>
      <c r="C47">
        <v>17878</v>
      </c>
      <c r="D47" s="26">
        <v>301.065</v>
      </c>
      <c r="E47" s="4">
        <f t="shared" si="0"/>
        <v>0</v>
      </c>
      <c r="F47">
        <v>18038</v>
      </c>
      <c r="G47" s="26">
        <v>312.238</v>
      </c>
      <c r="H47" s="4">
        <f t="shared" si="1"/>
        <v>8.9490463672464906E-3</v>
      </c>
    </row>
    <row r="48" spans="1:8" x14ac:dyDescent="0.25">
      <c r="A48" s="5" t="s">
        <v>51</v>
      </c>
      <c r="B48" s="1">
        <f t="shared" si="2"/>
        <v>34123</v>
      </c>
      <c r="C48">
        <v>34123</v>
      </c>
      <c r="D48" s="26">
        <v>301.02800000000002</v>
      </c>
      <c r="E48" s="4">
        <f t="shared" si="0"/>
        <v>0</v>
      </c>
      <c r="F48">
        <v>34261</v>
      </c>
      <c r="G48" s="26">
        <v>324.44600000000003</v>
      </c>
      <c r="H48" s="4">
        <f t="shared" si="1"/>
        <v>4.0440745516352131E-3</v>
      </c>
    </row>
    <row r="49" spans="1:8" x14ac:dyDescent="0.25">
      <c r="A49" s="3" t="s">
        <v>52</v>
      </c>
      <c r="B49" s="1">
        <f t="shared" si="2"/>
        <v>59509</v>
      </c>
      <c r="C49">
        <v>60905</v>
      </c>
      <c r="D49" s="26">
        <v>301.92599999999999</v>
      </c>
      <c r="E49" s="4">
        <f t="shared" si="0"/>
        <v>2.3458242312216434E-2</v>
      </c>
      <c r="F49">
        <v>59509</v>
      </c>
      <c r="G49" s="26">
        <v>302.26499999999999</v>
      </c>
      <c r="H49" s="4">
        <f t="shared" si="1"/>
        <v>0</v>
      </c>
    </row>
    <row r="50" spans="1:8" x14ac:dyDescent="0.25">
      <c r="A50" s="5" t="s">
        <v>53</v>
      </c>
      <c r="B50" s="1">
        <f t="shared" si="2"/>
        <v>36120</v>
      </c>
      <c r="C50">
        <v>36120</v>
      </c>
      <c r="D50" s="26">
        <v>301.03100000000001</v>
      </c>
      <c r="E50" s="4">
        <f t="shared" si="0"/>
        <v>0</v>
      </c>
      <c r="F50">
        <v>36318</v>
      </c>
      <c r="G50" s="26">
        <v>323.51100000000002</v>
      </c>
      <c r="H50" s="4">
        <f t="shared" si="1"/>
        <v>5.4815758146230728E-3</v>
      </c>
    </row>
    <row r="51" spans="1:8" x14ac:dyDescent="0.25">
      <c r="A51" s="3" t="s">
        <v>54</v>
      </c>
      <c r="B51" s="1">
        <f t="shared" si="2"/>
        <v>33742</v>
      </c>
      <c r="C51">
        <v>33742</v>
      </c>
      <c r="D51" s="26">
        <v>301.154</v>
      </c>
      <c r="E51" s="4">
        <f t="shared" si="0"/>
        <v>0</v>
      </c>
      <c r="F51">
        <v>33982</v>
      </c>
      <c r="G51" s="26">
        <v>321.02999999999997</v>
      </c>
      <c r="H51" s="4">
        <f t="shared" si="1"/>
        <v>7.1125863141985003E-3</v>
      </c>
    </row>
    <row r="52" spans="1:8" x14ac:dyDescent="0.25">
      <c r="A52" s="5" t="s">
        <v>55</v>
      </c>
      <c r="B52" s="1">
        <f t="shared" si="2"/>
        <v>59784</v>
      </c>
      <c r="C52">
        <v>60487</v>
      </c>
      <c r="D52" s="26">
        <v>302.31</v>
      </c>
      <c r="E52" s="4">
        <f t="shared" si="0"/>
        <v>1.1758802375177721E-2</v>
      </c>
      <c r="F52">
        <v>59784</v>
      </c>
      <c r="G52" s="26">
        <v>304.81799999999998</v>
      </c>
      <c r="H52" s="4">
        <f t="shared" si="1"/>
        <v>0</v>
      </c>
    </row>
    <row r="53" spans="1:8" x14ac:dyDescent="0.25">
      <c r="A53" s="3" t="s">
        <v>56</v>
      </c>
      <c r="B53" s="1">
        <f t="shared" si="2"/>
        <v>34320</v>
      </c>
      <c r="C53">
        <v>34543</v>
      </c>
      <c r="D53" s="26">
        <v>301.03300000000002</v>
      </c>
      <c r="E53" s="4">
        <f t="shared" si="0"/>
        <v>6.4974796771655836E-3</v>
      </c>
      <c r="F53">
        <v>34320</v>
      </c>
      <c r="G53" s="26">
        <v>301.66199999999998</v>
      </c>
      <c r="H53" s="4">
        <f t="shared" si="1"/>
        <v>0</v>
      </c>
    </row>
    <row r="54" spans="1:8" x14ac:dyDescent="0.25">
      <c r="A54" s="5" t="s">
        <v>57</v>
      </c>
      <c r="B54" s="1">
        <f t="shared" si="2"/>
        <v>34984</v>
      </c>
      <c r="C54">
        <v>34984</v>
      </c>
      <c r="D54" s="26">
        <v>301.07</v>
      </c>
      <c r="E54" s="4">
        <f t="shared" si="0"/>
        <v>0</v>
      </c>
      <c r="F54">
        <v>35302</v>
      </c>
      <c r="G54" s="26">
        <v>311.21300000000002</v>
      </c>
      <c r="H54" s="4">
        <f t="shared" si="1"/>
        <v>9.0896098327854797E-3</v>
      </c>
    </row>
    <row r="55" spans="1:8" x14ac:dyDescent="0.25">
      <c r="A55" s="3" t="s">
        <v>58</v>
      </c>
      <c r="B55" s="1">
        <f t="shared" si="2"/>
        <v>59467</v>
      </c>
      <c r="C55">
        <v>60584</v>
      </c>
      <c r="D55" s="26">
        <v>301.05099999999999</v>
      </c>
      <c r="E55" s="4">
        <f t="shared" si="0"/>
        <v>1.8783211138763706E-2</v>
      </c>
      <c r="F55">
        <v>59467</v>
      </c>
      <c r="G55" s="26">
        <v>314.46499999999997</v>
      </c>
      <c r="H55" s="4">
        <f t="shared" si="1"/>
        <v>0</v>
      </c>
    </row>
    <row r="56" spans="1:8" x14ac:dyDescent="0.25">
      <c r="A56" s="5" t="s">
        <v>59</v>
      </c>
      <c r="B56" s="1">
        <f t="shared" si="2"/>
        <v>34871</v>
      </c>
      <c r="C56">
        <v>35748</v>
      </c>
      <c r="D56" s="26">
        <v>301.19600000000003</v>
      </c>
      <c r="E56" s="4">
        <f t="shared" si="0"/>
        <v>2.5149116769901354E-2</v>
      </c>
      <c r="F56">
        <v>34871</v>
      </c>
      <c r="G56" s="26">
        <v>301.29199999999997</v>
      </c>
      <c r="H56" s="4">
        <f t="shared" si="1"/>
        <v>0</v>
      </c>
    </row>
    <row r="57" spans="1:8" x14ac:dyDescent="0.25">
      <c r="A57" s="3" t="s">
        <v>60</v>
      </c>
      <c r="B57" s="1">
        <f t="shared" si="2"/>
        <v>59516</v>
      </c>
      <c r="C57">
        <v>60219</v>
      </c>
      <c r="D57" s="26">
        <v>301.35599999999999</v>
      </c>
      <c r="E57" s="4">
        <f t="shared" si="0"/>
        <v>1.181175126434464E-2</v>
      </c>
      <c r="F57">
        <v>59516</v>
      </c>
      <c r="G57" s="26">
        <v>318.85700000000003</v>
      </c>
      <c r="H57" s="4">
        <f t="shared" si="1"/>
        <v>0</v>
      </c>
    </row>
    <row r="58" spans="1:8" x14ac:dyDescent="0.25">
      <c r="A58" s="5" t="s">
        <v>61</v>
      </c>
      <c r="B58" s="1">
        <f t="shared" si="2"/>
        <v>102716</v>
      </c>
      <c r="C58">
        <v>102754</v>
      </c>
      <c r="D58" s="26">
        <v>301.017</v>
      </c>
      <c r="E58" s="4">
        <f t="shared" si="0"/>
        <v>3.6994849927470626E-4</v>
      </c>
      <c r="F58">
        <v>102716</v>
      </c>
      <c r="G58" s="26">
        <v>304.62900000000002</v>
      </c>
      <c r="H58" s="4">
        <f t="shared" si="1"/>
        <v>0</v>
      </c>
    </row>
    <row r="59" spans="1:8" x14ac:dyDescent="0.25">
      <c r="A59" s="3" t="s">
        <v>62</v>
      </c>
      <c r="B59" s="1">
        <f t="shared" si="2"/>
        <v>61218</v>
      </c>
      <c r="C59">
        <v>62776</v>
      </c>
      <c r="D59" s="26">
        <v>305.24299999999999</v>
      </c>
      <c r="E59" s="4">
        <f t="shared" si="0"/>
        <v>2.5449615315506623E-2</v>
      </c>
      <c r="F59">
        <v>61218</v>
      </c>
      <c r="G59" s="26">
        <v>309.16800000000001</v>
      </c>
      <c r="H59" s="4">
        <f t="shared" si="1"/>
        <v>0</v>
      </c>
    </row>
    <row r="60" spans="1:8" x14ac:dyDescent="0.25">
      <c r="A60" s="5" t="s">
        <v>63</v>
      </c>
      <c r="B60" s="1">
        <f t="shared" si="2"/>
        <v>59048</v>
      </c>
      <c r="C60">
        <v>59048</v>
      </c>
      <c r="D60" s="26">
        <v>301.33699999999999</v>
      </c>
      <c r="E60" s="4">
        <f t="shared" si="0"/>
        <v>0</v>
      </c>
      <c r="F60">
        <v>59230</v>
      </c>
      <c r="G60" s="26">
        <v>337.43200000000002</v>
      </c>
      <c r="H60" s="4">
        <f t="shared" si="1"/>
        <v>3.0821859811343121E-3</v>
      </c>
    </row>
    <row r="61" spans="1:8" x14ac:dyDescent="0.25">
      <c r="A61" s="3" t="s">
        <v>64</v>
      </c>
      <c r="B61" s="1">
        <f t="shared" si="2"/>
        <v>101865</v>
      </c>
      <c r="C61">
        <v>101865</v>
      </c>
      <c r="D61" s="26">
        <v>301.113</v>
      </c>
      <c r="E61" s="4">
        <f t="shared" si="0"/>
        <v>0</v>
      </c>
      <c r="F61">
        <v>102046</v>
      </c>
      <c r="G61" s="26">
        <v>334.31299999999999</v>
      </c>
      <c r="H61" s="4">
        <f t="shared" si="1"/>
        <v>1.7768440892937782E-3</v>
      </c>
    </row>
    <row r="62" spans="1:8" x14ac:dyDescent="0.25">
      <c r="A62" s="5" t="s">
        <v>65</v>
      </c>
      <c r="B62" s="1">
        <f t="shared" si="2"/>
        <v>60018</v>
      </c>
      <c r="C62">
        <v>60130</v>
      </c>
      <c r="D62" s="26">
        <v>301.03199999999998</v>
      </c>
      <c r="E62" s="4">
        <f t="shared" si="0"/>
        <v>1.8660757426814843E-3</v>
      </c>
      <c r="F62">
        <v>60018</v>
      </c>
      <c r="G62" s="26">
        <v>301.07100000000003</v>
      </c>
      <c r="H62" s="4">
        <f t="shared" si="1"/>
        <v>0</v>
      </c>
    </row>
    <row r="63" spans="1:8" x14ac:dyDescent="0.25">
      <c r="A63" s="3" t="s">
        <v>66</v>
      </c>
      <c r="B63" s="1">
        <f t="shared" si="2"/>
        <v>60759</v>
      </c>
      <c r="C63">
        <v>62372</v>
      </c>
      <c r="D63" s="26">
        <v>301</v>
      </c>
      <c r="E63" s="4">
        <f t="shared" si="0"/>
        <v>2.6547070441079658E-2</v>
      </c>
      <c r="F63">
        <v>60759</v>
      </c>
      <c r="G63" s="26">
        <v>349.37299999999999</v>
      </c>
      <c r="H63" s="4">
        <f t="shared" si="1"/>
        <v>0</v>
      </c>
    </row>
    <row r="64" spans="1:8" x14ac:dyDescent="0.25">
      <c r="A64" s="5" t="s">
        <v>67</v>
      </c>
      <c r="B64" s="1">
        <f t="shared" si="2"/>
        <v>102295</v>
      </c>
      <c r="C64">
        <v>102295</v>
      </c>
      <c r="D64" s="26">
        <v>302.49599999999998</v>
      </c>
      <c r="E64" s="4">
        <f t="shared" si="0"/>
        <v>0</v>
      </c>
      <c r="F64">
        <v>102412</v>
      </c>
      <c r="G64" s="26">
        <v>304.70100000000002</v>
      </c>
      <c r="H64" s="4">
        <f t="shared" si="1"/>
        <v>1.1437397356690389E-3</v>
      </c>
    </row>
    <row r="65" spans="1:8" x14ac:dyDescent="0.25">
      <c r="A65" s="3" t="s">
        <v>68</v>
      </c>
      <c r="B65" s="1">
        <f t="shared" si="2"/>
        <v>59942</v>
      </c>
      <c r="C65">
        <v>61347</v>
      </c>
      <c r="D65" s="26">
        <v>301.14699999999999</v>
      </c>
      <c r="E65" s="4">
        <f t="shared" si="0"/>
        <v>2.3438933653637622E-2</v>
      </c>
      <c r="F65">
        <v>59942</v>
      </c>
      <c r="G65" s="26">
        <v>301.75900000000001</v>
      </c>
      <c r="H65" s="4">
        <f t="shared" si="1"/>
        <v>0</v>
      </c>
    </row>
    <row r="66" spans="1:8" x14ac:dyDescent="0.25">
      <c r="A66" s="5" t="s">
        <v>69</v>
      </c>
      <c r="B66" s="1">
        <f t="shared" si="2"/>
        <v>98290</v>
      </c>
      <c r="C66">
        <v>98530</v>
      </c>
      <c r="D66" s="26">
        <v>310.81700000000001</v>
      </c>
      <c r="E66" s="4">
        <f t="shared" si="0"/>
        <v>2.4417291511939039E-3</v>
      </c>
      <c r="F66">
        <v>98290</v>
      </c>
      <c r="G66" s="26">
        <v>359.24200000000002</v>
      </c>
      <c r="H66" s="4">
        <f t="shared" si="1"/>
        <v>0</v>
      </c>
    </row>
    <row r="67" spans="1:8" x14ac:dyDescent="0.25">
      <c r="A67" s="3" t="s">
        <v>70</v>
      </c>
      <c r="B67" s="1">
        <f t="shared" si="2"/>
        <v>160874</v>
      </c>
      <c r="C67">
        <v>160874</v>
      </c>
      <c r="D67" s="26">
        <v>301.31099999999998</v>
      </c>
      <c r="E67" s="4">
        <f t="shared" ref="E67:E130" si="3">(C67-$B67)/(1+$B67)</f>
        <v>0</v>
      </c>
      <c r="F67">
        <v>161097</v>
      </c>
      <c r="G67" s="26">
        <v>422.22199999999998</v>
      </c>
      <c r="H67" s="4">
        <f t="shared" ref="H67:H130" si="4">(F67-$B67)/(1+$B67)</f>
        <v>1.3861693861693862E-3</v>
      </c>
    </row>
    <row r="68" spans="1:8" x14ac:dyDescent="0.25">
      <c r="A68" s="5" t="s">
        <v>71</v>
      </c>
      <c r="B68" s="1">
        <f t="shared" ref="B68:B131" si="5">MIN(C68,F68)</f>
        <v>95884</v>
      </c>
      <c r="C68">
        <v>96912</v>
      </c>
      <c r="D68" s="26">
        <v>301.791</v>
      </c>
      <c r="E68" s="4">
        <f t="shared" si="3"/>
        <v>1.0721176409240236E-2</v>
      </c>
      <c r="F68">
        <v>95884</v>
      </c>
      <c r="G68" s="26">
        <v>401.387</v>
      </c>
      <c r="H68" s="4">
        <f t="shared" si="4"/>
        <v>0</v>
      </c>
    </row>
    <row r="69" spans="1:8" x14ac:dyDescent="0.25">
      <c r="A69" s="3" t="s">
        <v>72</v>
      </c>
      <c r="B69" s="1">
        <f t="shared" si="5"/>
        <v>93297</v>
      </c>
      <c r="C69">
        <v>93948</v>
      </c>
      <c r="D69" s="26">
        <v>301.916</v>
      </c>
      <c r="E69" s="4">
        <f t="shared" si="3"/>
        <v>6.9776415357242381E-3</v>
      </c>
      <c r="F69">
        <v>93297</v>
      </c>
      <c r="G69" s="26">
        <v>308.85700000000003</v>
      </c>
      <c r="H69" s="4">
        <f t="shared" si="4"/>
        <v>0</v>
      </c>
    </row>
    <row r="70" spans="1:8" x14ac:dyDescent="0.25">
      <c r="A70" s="5" t="s">
        <v>73</v>
      </c>
      <c r="B70" s="1">
        <f t="shared" si="5"/>
        <v>158477</v>
      </c>
      <c r="C70">
        <v>158477</v>
      </c>
      <c r="D70" s="26">
        <v>302.714</v>
      </c>
      <c r="E70" s="4">
        <f t="shared" si="3"/>
        <v>0</v>
      </c>
      <c r="F70">
        <v>159171</v>
      </c>
      <c r="G70" s="26">
        <v>318.214</v>
      </c>
      <c r="H70" s="4">
        <f t="shared" si="4"/>
        <v>4.3791567283787023E-3</v>
      </c>
    </row>
    <row r="71" spans="1:8" x14ac:dyDescent="0.25">
      <c r="A71" s="3" t="s">
        <v>74</v>
      </c>
      <c r="B71" s="1">
        <f t="shared" si="5"/>
        <v>96860</v>
      </c>
      <c r="C71">
        <v>97289</v>
      </c>
      <c r="D71" s="26">
        <v>301.286</v>
      </c>
      <c r="E71" s="4">
        <f t="shared" si="3"/>
        <v>4.4290271626351166E-3</v>
      </c>
      <c r="F71">
        <v>96860</v>
      </c>
      <c r="G71" s="26">
        <v>305.16000000000003</v>
      </c>
      <c r="H71" s="4">
        <f t="shared" si="4"/>
        <v>0</v>
      </c>
    </row>
    <row r="72" spans="1:8" x14ac:dyDescent="0.25">
      <c r="A72" s="5" t="s">
        <v>75</v>
      </c>
      <c r="B72" s="1">
        <f t="shared" si="5"/>
        <v>95585</v>
      </c>
      <c r="C72">
        <v>97116</v>
      </c>
      <c r="D72" s="26">
        <v>301.08100000000002</v>
      </c>
      <c r="E72" s="4">
        <f t="shared" si="3"/>
        <v>1.6016989935764652E-2</v>
      </c>
      <c r="F72">
        <v>95585</v>
      </c>
      <c r="G72" s="26">
        <v>314.07600000000002</v>
      </c>
      <c r="H72" s="4">
        <f t="shared" si="4"/>
        <v>0</v>
      </c>
    </row>
    <row r="73" spans="1:8" x14ac:dyDescent="0.25">
      <c r="A73" s="3" t="s">
        <v>76</v>
      </c>
      <c r="B73" s="1">
        <f t="shared" si="5"/>
        <v>162437</v>
      </c>
      <c r="C73">
        <v>162437</v>
      </c>
      <c r="D73" s="26">
        <v>303.71699999999998</v>
      </c>
      <c r="E73" s="4">
        <f t="shared" si="3"/>
        <v>0</v>
      </c>
      <c r="F73">
        <v>163087</v>
      </c>
      <c r="G73" s="26">
        <v>316.64600000000002</v>
      </c>
      <c r="H73" s="4">
        <f t="shared" si="4"/>
        <v>4.001526736354794E-3</v>
      </c>
    </row>
    <row r="74" spans="1:8" x14ac:dyDescent="0.25">
      <c r="A74" s="5" t="s">
        <v>77</v>
      </c>
      <c r="B74" s="1">
        <f t="shared" si="5"/>
        <v>97655</v>
      </c>
      <c r="C74">
        <v>97655</v>
      </c>
      <c r="D74" s="26">
        <v>301.012</v>
      </c>
      <c r="E74" s="4">
        <f t="shared" si="3"/>
        <v>0</v>
      </c>
      <c r="F74">
        <v>97672</v>
      </c>
      <c r="G74" s="26">
        <v>355.517</v>
      </c>
      <c r="H74" s="4">
        <f t="shared" si="4"/>
        <v>1.7408044564594084E-4</v>
      </c>
    </row>
    <row r="75" spans="1:8" x14ac:dyDescent="0.25">
      <c r="A75" s="3" t="s">
        <v>78</v>
      </c>
      <c r="B75" s="1">
        <f t="shared" si="5"/>
        <v>142358</v>
      </c>
      <c r="C75">
        <v>144098</v>
      </c>
      <c r="D75" s="26">
        <v>301.12299999999999</v>
      </c>
      <c r="E75" s="4">
        <f t="shared" si="3"/>
        <v>1.222262027690557E-2</v>
      </c>
      <c r="F75">
        <v>142358</v>
      </c>
      <c r="G75" s="26">
        <v>645.73699999999997</v>
      </c>
      <c r="H75" s="4">
        <f t="shared" si="4"/>
        <v>0</v>
      </c>
    </row>
    <row r="76" spans="1:8" x14ac:dyDescent="0.25">
      <c r="A76" s="5" t="s">
        <v>79</v>
      </c>
      <c r="B76" s="1">
        <f t="shared" si="5"/>
        <v>240582</v>
      </c>
      <c r="C76">
        <v>240590</v>
      </c>
      <c r="D76" s="26">
        <v>323.41300000000001</v>
      </c>
      <c r="E76" s="4">
        <f t="shared" si="3"/>
        <v>3.3252557329487119E-5</v>
      </c>
      <c r="F76">
        <v>240582</v>
      </c>
      <c r="G76" s="26">
        <v>336.75299999999999</v>
      </c>
      <c r="H76" s="4">
        <f t="shared" si="4"/>
        <v>0</v>
      </c>
    </row>
    <row r="77" spans="1:8" x14ac:dyDescent="0.25">
      <c r="A77" s="3" t="s">
        <v>80</v>
      </c>
      <c r="B77" s="1">
        <f t="shared" si="5"/>
        <v>139396</v>
      </c>
      <c r="C77">
        <v>141619</v>
      </c>
      <c r="D77" s="26">
        <v>301.19400000000002</v>
      </c>
      <c r="E77" s="4">
        <f t="shared" si="3"/>
        <v>1.5947258549323155E-2</v>
      </c>
      <c r="F77">
        <v>139396</v>
      </c>
      <c r="G77" s="26">
        <v>344.50400000000002</v>
      </c>
      <c r="H77" s="4">
        <f t="shared" si="4"/>
        <v>0</v>
      </c>
    </row>
    <row r="78" spans="1:8" x14ac:dyDescent="0.25">
      <c r="A78" s="5" t="s">
        <v>81</v>
      </c>
      <c r="B78" s="1">
        <f t="shared" si="5"/>
        <v>142611</v>
      </c>
      <c r="C78">
        <v>142629</v>
      </c>
      <c r="D78" s="26">
        <v>315.75599999999997</v>
      </c>
      <c r="E78" s="4">
        <f t="shared" si="3"/>
        <v>1.2621658766443216E-4</v>
      </c>
      <c r="F78">
        <v>142611</v>
      </c>
      <c r="G78" s="26">
        <v>313.70699999999999</v>
      </c>
      <c r="H78" s="4">
        <f t="shared" si="4"/>
        <v>0</v>
      </c>
    </row>
    <row r="79" spans="1:8" x14ac:dyDescent="0.25">
      <c r="A79" s="3" t="s">
        <v>82</v>
      </c>
      <c r="B79" s="1">
        <f t="shared" si="5"/>
        <v>238015</v>
      </c>
      <c r="C79">
        <v>238015</v>
      </c>
      <c r="D79" s="26">
        <v>301.98599999999999</v>
      </c>
      <c r="E79" s="4">
        <f t="shared" si="3"/>
        <v>0</v>
      </c>
      <c r="F79">
        <v>238862</v>
      </c>
      <c r="G79" s="26">
        <v>453.27800000000002</v>
      </c>
      <c r="H79" s="4">
        <f t="shared" si="4"/>
        <v>3.5585842968539928E-3</v>
      </c>
    </row>
    <row r="80" spans="1:8" x14ac:dyDescent="0.25">
      <c r="A80" s="5" t="s">
        <v>83</v>
      </c>
      <c r="B80" s="1">
        <f t="shared" si="5"/>
        <v>141983</v>
      </c>
      <c r="C80">
        <v>141983</v>
      </c>
      <c r="D80" s="26">
        <v>304.7</v>
      </c>
      <c r="E80" s="4">
        <f t="shared" si="3"/>
        <v>0</v>
      </c>
      <c r="F80">
        <v>143458</v>
      </c>
      <c r="G80" s="26">
        <v>301.483</v>
      </c>
      <c r="H80" s="4">
        <f t="shared" si="4"/>
        <v>1.0388494478251071E-2</v>
      </c>
    </row>
    <row r="81" spans="1:8" x14ac:dyDescent="0.25">
      <c r="A81" s="3" t="s">
        <v>84</v>
      </c>
      <c r="B81" s="1">
        <f t="shared" si="5"/>
        <v>144386</v>
      </c>
      <c r="C81">
        <v>144386</v>
      </c>
      <c r="D81" s="26">
        <v>302.048</v>
      </c>
      <c r="E81" s="4">
        <f t="shared" si="3"/>
        <v>0</v>
      </c>
      <c r="F81">
        <v>145415</v>
      </c>
      <c r="G81" s="26">
        <v>424.67500000000001</v>
      </c>
      <c r="H81" s="4">
        <f t="shared" si="4"/>
        <v>7.1266803798125866E-3</v>
      </c>
    </row>
    <row r="82" spans="1:8" x14ac:dyDescent="0.25">
      <c r="A82" s="5" t="s">
        <v>85</v>
      </c>
      <c r="B82" s="1">
        <f t="shared" si="5"/>
        <v>239973</v>
      </c>
      <c r="C82">
        <v>239990</v>
      </c>
      <c r="D82" s="26">
        <v>303.46499999999997</v>
      </c>
      <c r="E82" s="4">
        <f t="shared" si="3"/>
        <v>7.0841007775842383E-5</v>
      </c>
      <c r="F82">
        <v>239973</v>
      </c>
      <c r="G82" s="26">
        <v>408.20400000000001</v>
      </c>
      <c r="H82" s="4">
        <f t="shared" si="4"/>
        <v>0</v>
      </c>
    </row>
    <row r="83" spans="1:8" x14ac:dyDescent="0.25">
      <c r="A83" s="3" t="s">
        <v>86</v>
      </c>
      <c r="B83" s="1">
        <f t="shared" si="5"/>
        <v>147488</v>
      </c>
      <c r="C83">
        <v>147488</v>
      </c>
      <c r="D83" s="26">
        <v>305.31400000000002</v>
      </c>
      <c r="E83" s="4">
        <f t="shared" si="3"/>
        <v>0</v>
      </c>
      <c r="F83">
        <v>148189</v>
      </c>
      <c r="G83" s="26">
        <v>301.23</v>
      </c>
      <c r="H83" s="4">
        <f t="shared" si="4"/>
        <v>4.7528968262039884E-3</v>
      </c>
    </row>
    <row r="84" spans="1:8" x14ac:dyDescent="0.25">
      <c r="A84" s="5" t="s">
        <v>87</v>
      </c>
      <c r="B84" s="1">
        <f t="shared" si="5"/>
        <v>206462</v>
      </c>
      <c r="C84">
        <v>207907</v>
      </c>
      <c r="D84" s="26">
        <v>301.58</v>
      </c>
      <c r="E84" s="4">
        <f t="shared" si="3"/>
        <v>6.9988327206327522E-3</v>
      </c>
      <c r="F84">
        <v>206462</v>
      </c>
      <c r="G84" s="26">
        <v>312.58199999999999</v>
      </c>
      <c r="H84" s="4">
        <f t="shared" si="4"/>
        <v>0</v>
      </c>
    </row>
    <row r="85" spans="1:8" x14ac:dyDescent="0.25">
      <c r="A85" s="3" t="s">
        <v>88</v>
      </c>
      <c r="B85" s="1">
        <f t="shared" si="5"/>
        <v>340303</v>
      </c>
      <c r="C85">
        <v>340841</v>
      </c>
      <c r="D85" s="26">
        <v>301.29500000000002</v>
      </c>
      <c r="E85" s="4">
        <f t="shared" si="3"/>
        <v>1.580939395364145E-3</v>
      </c>
      <c r="F85">
        <v>340303</v>
      </c>
      <c r="G85" s="26">
        <v>338.9</v>
      </c>
      <c r="H85" s="4">
        <f t="shared" si="4"/>
        <v>0</v>
      </c>
    </row>
    <row r="86" spans="1:8" x14ac:dyDescent="0.25">
      <c r="A86" s="5" t="s">
        <v>89</v>
      </c>
      <c r="B86" s="1">
        <f t="shared" si="5"/>
        <v>206304</v>
      </c>
      <c r="C86">
        <v>207836</v>
      </c>
      <c r="D86" s="26">
        <v>301.24599999999998</v>
      </c>
      <c r="E86" s="4">
        <f t="shared" si="3"/>
        <v>7.4258985482659173E-3</v>
      </c>
      <c r="F86">
        <v>206304</v>
      </c>
      <c r="G86" s="26">
        <v>386.96199999999999</v>
      </c>
      <c r="H86" s="4">
        <f t="shared" si="4"/>
        <v>0</v>
      </c>
    </row>
    <row r="87" spans="1:8" x14ac:dyDescent="0.25">
      <c r="A87" s="3" t="s">
        <v>90</v>
      </c>
      <c r="B87" s="1">
        <f t="shared" si="5"/>
        <v>210335</v>
      </c>
      <c r="C87">
        <v>210367</v>
      </c>
      <c r="D87" s="26">
        <v>301.108</v>
      </c>
      <c r="E87" s="4">
        <f t="shared" si="3"/>
        <v>1.5213753232922562E-4</v>
      </c>
      <c r="F87">
        <v>210335</v>
      </c>
      <c r="G87" s="26">
        <v>310.16199999999998</v>
      </c>
      <c r="H87" s="4">
        <f t="shared" si="4"/>
        <v>0</v>
      </c>
    </row>
    <row r="88" spans="1:8" x14ac:dyDescent="0.25">
      <c r="A88" s="5" t="s">
        <v>91</v>
      </c>
      <c r="B88" s="1">
        <f t="shared" si="5"/>
        <v>339742</v>
      </c>
      <c r="C88">
        <v>339742</v>
      </c>
      <c r="D88" s="26">
        <v>302.28300000000002</v>
      </c>
      <c r="E88" s="4">
        <f t="shared" si="3"/>
        <v>0</v>
      </c>
      <c r="F88">
        <v>340527</v>
      </c>
      <c r="G88" s="26">
        <v>362.13799999999998</v>
      </c>
      <c r="H88" s="4">
        <f t="shared" si="4"/>
        <v>2.3105700485366882E-3</v>
      </c>
    </row>
    <row r="89" spans="1:8" x14ac:dyDescent="0.25">
      <c r="A89" s="3" t="s">
        <v>92</v>
      </c>
      <c r="B89" s="1">
        <f t="shared" si="5"/>
        <v>210514</v>
      </c>
      <c r="C89">
        <v>210514</v>
      </c>
      <c r="D89" s="26">
        <v>301.07600000000002</v>
      </c>
      <c r="E89" s="4">
        <f t="shared" si="3"/>
        <v>0</v>
      </c>
      <c r="F89">
        <v>213431</v>
      </c>
      <c r="G89" s="26">
        <v>371.88499999999999</v>
      </c>
      <c r="H89" s="4">
        <f t="shared" si="4"/>
        <v>1.3856494786594779E-2</v>
      </c>
    </row>
    <row r="90" spans="1:8" x14ac:dyDescent="0.25">
      <c r="A90" s="5" t="s">
        <v>93</v>
      </c>
      <c r="B90" s="1">
        <f t="shared" si="5"/>
        <v>204426</v>
      </c>
      <c r="C90">
        <v>204426</v>
      </c>
      <c r="D90" s="26">
        <v>301.17700000000002</v>
      </c>
      <c r="E90" s="4">
        <f t="shared" si="3"/>
        <v>0</v>
      </c>
      <c r="F90">
        <v>204495</v>
      </c>
      <c r="G90" s="26">
        <v>309.82600000000002</v>
      </c>
      <c r="H90" s="4">
        <f t="shared" si="4"/>
        <v>3.3752880001174015E-4</v>
      </c>
    </row>
    <row r="91" spans="1:8" x14ac:dyDescent="0.25">
      <c r="A91" s="3" t="s">
        <v>94</v>
      </c>
      <c r="B91" s="1">
        <f t="shared" si="5"/>
        <v>340435</v>
      </c>
      <c r="C91">
        <v>340765</v>
      </c>
      <c r="D91" s="26">
        <v>301.173</v>
      </c>
      <c r="E91" s="4">
        <f t="shared" si="3"/>
        <v>9.6934519263532646E-4</v>
      </c>
      <c r="F91">
        <v>340435</v>
      </c>
      <c r="G91" s="26">
        <v>334.14400000000001</v>
      </c>
      <c r="H91" s="4">
        <f t="shared" si="4"/>
        <v>0</v>
      </c>
    </row>
    <row r="92" spans="1:8" x14ac:dyDescent="0.25">
      <c r="A92" s="5" t="s">
        <v>95</v>
      </c>
      <c r="B92" s="1">
        <f t="shared" si="5"/>
        <v>201066</v>
      </c>
      <c r="C92">
        <v>203814</v>
      </c>
      <c r="D92" s="26">
        <v>301.22300000000001</v>
      </c>
      <c r="E92" s="4">
        <f t="shared" si="3"/>
        <v>1.366708609567955E-2</v>
      </c>
      <c r="F92">
        <v>201066</v>
      </c>
      <c r="G92" s="26">
        <v>330.91</v>
      </c>
      <c r="H92" s="4">
        <f t="shared" si="4"/>
        <v>0</v>
      </c>
    </row>
    <row r="93" spans="1:8" x14ac:dyDescent="0.25">
      <c r="A93" s="3" t="s">
        <v>96</v>
      </c>
      <c r="B93" s="1">
        <f t="shared" si="5"/>
        <v>275590</v>
      </c>
      <c r="C93">
        <v>284148</v>
      </c>
      <c r="D93" s="26">
        <v>301.48</v>
      </c>
      <c r="E93" s="4">
        <f t="shared" si="3"/>
        <v>3.105326371325624E-2</v>
      </c>
      <c r="F93">
        <v>275590</v>
      </c>
      <c r="G93" s="26">
        <v>309.09100000000001</v>
      </c>
      <c r="H93" s="4">
        <f t="shared" si="4"/>
        <v>0</v>
      </c>
    </row>
    <row r="94" spans="1:8" x14ac:dyDescent="0.25">
      <c r="A94" s="5" t="s">
        <v>97</v>
      </c>
      <c r="B94" s="1">
        <f t="shared" si="5"/>
        <v>467692</v>
      </c>
      <c r="C94">
        <v>469026</v>
      </c>
      <c r="D94" s="26">
        <v>301.24200000000002</v>
      </c>
      <c r="E94" s="4">
        <f t="shared" si="3"/>
        <v>2.8522984094266966E-3</v>
      </c>
      <c r="F94">
        <v>467692</v>
      </c>
      <c r="G94" s="26">
        <v>334.77699999999999</v>
      </c>
      <c r="H94" s="4">
        <f t="shared" si="4"/>
        <v>0</v>
      </c>
    </row>
    <row r="95" spans="1:8" x14ac:dyDescent="0.25">
      <c r="A95" s="3" t="s">
        <v>98</v>
      </c>
      <c r="B95" s="1">
        <f t="shared" si="5"/>
        <v>280909</v>
      </c>
      <c r="C95">
        <v>280909</v>
      </c>
      <c r="D95" s="26">
        <v>301.11799999999999</v>
      </c>
      <c r="E95" s="4">
        <f t="shared" si="3"/>
        <v>0</v>
      </c>
      <c r="F95">
        <v>282727</v>
      </c>
      <c r="G95" s="26">
        <v>304.36799999999999</v>
      </c>
      <c r="H95" s="4">
        <f t="shared" si="4"/>
        <v>6.4718237157808554E-3</v>
      </c>
    </row>
    <row r="96" spans="1:8" x14ac:dyDescent="0.25">
      <c r="A96" s="5" t="s">
        <v>99</v>
      </c>
      <c r="B96" s="1">
        <f t="shared" si="5"/>
        <v>280313</v>
      </c>
      <c r="C96">
        <v>299254</v>
      </c>
      <c r="D96" s="26">
        <v>312.58</v>
      </c>
      <c r="E96" s="4">
        <f t="shared" si="3"/>
        <v>6.7570652910664469E-2</v>
      </c>
      <c r="F96">
        <v>280313</v>
      </c>
      <c r="G96" s="26">
        <v>308.85599999999999</v>
      </c>
      <c r="H96" s="4">
        <f t="shared" si="4"/>
        <v>0</v>
      </c>
    </row>
    <row r="97" spans="1:12" x14ac:dyDescent="0.25">
      <c r="A97" s="3" t="s">
        <v>100</v>
      </c>
      <c r="B97" s="1">
        <f t="shared" si="5"/>
        <v>465176</v>
      </c>
      <c r="C97">
        <v>465681</v>
      </c>
      <c r="D97" s="26">
        <v>301.24700000000001</v>
      </c>
      <c r="E97" s="4">
        <f t="shared" si="3"/>
        <v>1.0856082738398502E-3</v>
      </c>
      <c r="F97">
        <v>465176</v>
      </c>
      <c r="G97" s="26">
        <v>330.85599999999999</v>
      </c>
      <c r="H97" s="4">
        <f t="shared" si="4"/>
        <v>0</v>
      </c>
    </row>
    <row r="98" spans="1:12" x14ac:dyDescent="0.25">
      <c r="A98" s="5" t="s">
        <v>101</v>
      </c>
      <c r="B98" s="1">
        <f t="shared" si="5"/>
        <v>285211</v>
      </c>
      <c r="C98">
        <v>286966</v>
      </c>
      <c r="D98" s="26">
        <v>301.084</v>
      </c>
      <c r="E98" s="4">
        <f t="shared" si="3"/>
        <v>6.1533175322216454E-3</v>
      </c>
      <c r="F98">
        <v>285211</v>
      </c>
      <c r="G98" s="26">
        <v>310.93700000000001</v>
      </c>
      <c r="H98" s="4">
        <f t="shared" si="4"/>
        <v>0</v>
      </c>
    </row>
    <row r="99" spans="1:12" x14ac:dyDescent="0.25">
      <c r="A99" s="3" t="s">
        <v>102</v>
      </c>
      <c r="B99" s="1">
        <f t="shared" si="5"/>
        <v>281712</v>
      </c>
      <c r="C99">
        <v>289005</v>
      </c>
      <c r="D99" s="26">
        <v>301.06700000000001</v>
      </c>
      <c r="E99" s="4">
        <f t="shared" si="3"/>
        <v>2.5888049184808654E-2</v>
      </c>
      <c r="F99">
        <v>281712</v>
      </c>
      <c r="G99" s="26">
        <v>309.56599999999997</v>
      </c>
      <c r="H99" s="4">
        <f t="shared" si="4"/>
        <v>0</v>
      </c>
    </row>
    <row r="100" spans="1:12" x14ac:dyDescent="0.25">
      <c r="A100" s="5" t="s">
        <v>103</v>
      </c>
      <c r="B100" s="1">
        <f t="shared" si="5"/>
        <v>463135</v>
      </c>
      <c r="C100">
        <v>463135</v>
      </c>
      <c r="D100" s="26">
        <v>301.16500000000002</v>
      </c>
      <c r="E100" s="4">
        <f t="shared" si="3"/>
        <v>0</v>
      </c>
      <c r="F100">
        <v>468899</v>
      </c>
      <c r="G100" s="26">
        <v>331.72500000000002</v>
      </c>
      <c r="H100" s="4">
        <f t="shared" si="4"/>
        <v>1.2445588336903199E-2</v>
      </c>
    </row>
    <row r="101" spans="1:12" x14ac:dyDescent="0.25">
      <c r="A101" s="3" t="s">
        <v>104</v>
      </c>
      <c r="B101" s="1">
        <f t="shared" si="5"/>
        <v>280172</v>
      </c>
      <c r="C101">
        <v>281297</v>
      </c>
      <c r="D101" s="26">
        <v>301.892</v>
      </c>
      <c r="E101" s="4">
        <f t="shared" si="3"/>
        <v>4.0153762139820753E-3</v>
      </c>
      <c r="F101">
        <v>280172</v>
      </c>
      <c r="G101" s="26">
        <v>408.68799999999999</v>
      </c>
      <c r="H101" s="4">
        <f t="shared" si="4"/>
        <v>0</v>
      </c>
    </row>
    <row r="102" spans="1:12" x14ac:dyDescent="0.25">
      <c r="A102" s="5" t="s">
        <v>105</v>
      </c>
      <c r="B102" s="1">
        <f t="shared" si="5"/>
        <v>383774</v>
      </c>
      <c r="C102">
        <v>388802</v>
      </c>
      <c r="D102" s="26">
        <v>326.37200000000001</v>
      </c>
      <c r="E102" s="4">
        <f t="shared" si="3"/>
        <v>1.3101426617158492E-2</v>
      </c>
      <c r="F102">
        <v>383774</v>
      </c>
      <c r="G102" s="26">
        <v>309.911</v>
      </c>
      <c r="H102" s="4">
        <f t="shared" si="4"/>
        <v>0</v>
      </c>
    </row>
    <row r="103" spans="1:12" x14ac:dyDescent="0.25">
      <c r="A103" s="3" t="s">
        <v>106</v>
      </c>
      <c r="B103" s="1">
        <f t="shared" si="5"/>
        <v>620394</v>
      </c>
      <c r="C103">
        <v>620394</v>
      </c>
      <c r="D103" s="26">
        <v>301.149</v>
      </c>
      <c r="E103" s="4">
        <f t="shared" si="3"/>
        <v>0</v>
      </c>
      <c r="F103">
        <v>623895</v>
      </c>
      <c r="G103" s="26">
        <v>322.69099999999997</v>
      </c>
      <c r="H103" s="4">
        <f t="shared" si="4"/>
        <v>5.6431789424479569E-3</v>
      </c>
    </row>
    <row r="104" spans="1:12" ht="15.75" thickBot="1" x14ac:dyDescent="0.3">
      <c r="A104" s="5" t="s">
        <v>107</v>
      </c>
      <c r="B104" s="1">
        <f t="shared" si="5"/>
        <v>371890</v>
      </c>
      <c r="C104">
        <v>373349</v>
      </c>
      <c r="D104" s="26">
        <v>303.19099999999997</v>
      </c>
      <c r="E104" s="4">
        <f t="shared" si="3"/>
        <v>3.9231925483542221E-3</v>
      </c>
      <c r="F104">
        <v>371890</v>
      </c>
      <c r="G104" s="26">
        <v>320.37099999999998</v>
      </c>
      <c r="H104" s="4">
        <f t="shared" si="4"/>
        <v>0</v>
      </c>
    </row>
    <row r="105" spans="1:12" ht="15.75" thickBot="1" x14ac:dyDescent="0.3">
      <c r="A105" s="3" t="s">
        <v>108</v>
      </c>
      <c r="B105" s="1">
        <f t="shared" si="5"/>
        <v>378700</v>
      </c>
      <c r="C105">
        <v>389494</v>
      </c>
      <c r="D105" s="26">
        <v>311.39299999999997</v>
      </c>
      <c r="E105" s="4">
        <f t="shared" si="3"/>
        <v>2.8502697378670772E-2</v>
      </c>
      <c r="F105">
        <v>378700</v>
      </c>
      <c r="G105" s="26">
        <v>308.59500000000003</v>
      </c>
      <c r="H105" s="4">
        <f t="shared" si="4"/>
        <v>0</v>
      </c>
      <c r="J105" s="40" t="s">
        <v>109</v>
      </c>
      <c r="K105" s="41"/>
      <c r="L105" s="42"/>
    </row>
    <row r="106" spans="1:12" x14ac:dyDescent="0.25">
      <c r="A106" s="5" t="s">
        <v>110</v>
      </c>
      <c r="B106" s="1">
        <f t="shared" si="5"/>
        <v>620288</v>
      </c>
      <c r="C106">
        <v>620288</v>
      </c>
      <c r="D106" s="26">
        <v>301.089</v>
      </c>
      <c r="E106" s="4">
        <f t="shared" si="3"/>
        <v>0</v>
      </c>
      <c r="F106">
        <v>622252</v>
      </c>
      <c r="G106" s="26">
        <v>325.48399999999998</v>
      </c>
      <c r="H106" s="4">
        <f t="shared" si="4"/>
        <v>3.166266046955532E-3</v>
      </c>
      <c r="J106" s="6"/>
      <c r="K106" s="7" t="str">
        <f>$C$1</f>
        <v>BVNS</v>
      </c>
      <c r="L106" s="8" t="str">
        <f>$F$1</f>
        <v>UCB1</v>
      </c>
    </row>
    <row r="107" spans="1:12" x14ac:dyDescent="0.25">
      <c r="A107" s="3" t="s">
        <v>111</v>
      </c>
      <c r="B107" s="1">
        <f t="shared" si="5"/>
        <v>372299</v>
      </c>
      <c r="C107">
        <v>373738</v>
      </c>
      <c r="D107" s="26">
        <v>301.15499999999997</v>
      </c>
      <c r="E107" s="4">
        <f t="shared" si="3"/>
        <v>3.8651625033575073E-3</v>
      </c>
      <c r="F107">
        <v>372299</v>
      </c>
      <c r="G107" s="26">
        <v>303.96600000000001</v>
      </c>
      <c r="H107" s="4">
        <f t="shared" si="4"/>
        <v>0</v>
      </c>
      <c r="J107" s="9" t="s">
        <v>3</v>
      </c>
      <c r="K107" s="10">
        <f>AVERAGE(C3:C110)</f>
        <v>125555.8425925926</v>
      </c>
      <c r="L107" s="11">
        <f>AVERAGE(F3:F110)</f>
        <v>124850.91666666667</v>
      </c>
    </row>
    <row r="108" spans="1:12" x14ac:dyDescent="0.25">
      <c r="A108" s="5" t="s">
        <v>112</v>
      </c>
      <c r="B108" s="1">
        <f t="shared" si="5"/>
        <v>372148</v>
      </c>
      <c r="C108">
        <v>382815</v>
      </c>
      <c r="D108" s="26">
        <v>325.07100000000003</v>
      </c>
      <c r="E108" s="4">
        <f t="shared" si="3"/>
        <v>2.8663250472257078E-2</v>
      </c>
      <c r="F108">
        <v>372148</v>
      </c>
      <c r="G108" s="26">
        <v>308.25700000000001</v>
      </c>
      <c r="H108" s="4">
        <f t="shared" si="4"/>
        <v>0</v>
      </c>
      <c r="J108" s="9" t="s">
        <v>4</v>
      </c>
      <c r="K108" s="10">
        <f>AVERAGE(D3:D110)</f>
        <v>296.9165185185185</v>
      </c>
      <c r="L108" s="11">
        <f>AVERAGE(G3:G110)</f>
        <v>316.62357407407399</v>
      </c>
    </row>
    <row r="109" spans="1:12" x14ac:dyDescent="0.25">
      <c r="A109" s="3" t="s">
        <v>113</v>
      </c>
      <c r="B109" s="1">
        <f t="shared" si="5"/>
        <v>617978</v>
      </c>
      <c r="C109">
        <v>619069</v>
      </c>
      <c r="D109" s="26">
        <v>301.03300000000002</v>
      </c>
      <c r="E109" s="4">
        <f t="shared" si="3"/>
        <v>1.7654321586979493E-3</v>
      </c>
      <c r="F109">
        <v>617978</v>
      </c>
      <c r="G109" s="26">
        <v>322.32100000000003</v>
      </c>
      <c r="H109" s="4">
        <f t="shared" si="4"/>
        <v>0</v>
      </c>
      <c r="J109" s="12" t="s">
        <v>5</v>
      </c>
      <c r="K109" s="29">
        <f>AVERAGE(E3:E110)</f>
        <v>5.8366016713648616E-3</v>
      </c>
      <c r="L109" s="30">
        <f>AVERAGE(H3:H110)</f>
        <v>1.7515520377415046E-3</v>
      </c>
    </row>
    <row r="110" spans="1:12" ht="15.75" thickBot="1" x14ac:dyDescent="0.3">
      <c r="A110" s="18" t="s">
        <v>114</v>
      </c>
      <c r="B110" s="19">
        <f t="shared" si="5"/>
        <v>369645</v>
      </c>
      <c r="C110" s="27">
        <v>374692</v>
      </c>
      <c r="D110" s="28">
        <v>301.21199999999999</v>
      </c>
      <c r="E110" s="13">
        <f t="shared" si="3"/>
        <v>1.3653603718151962E-2</v>
      </c>
      <c r="F110" s="27">
        <v>369645</v>
      </c>
      <c r="G110" s="28">
        <v>318.84699999999998</v>
      </c>
      <c r="H110" s="13">
        <f t="shared" si="4"/>
        <v>0</v>
      </c>
      <c r="I110" s="14"/>
      <c r="J110" s="15" t="s">
        <v>115</v>
      </c>
      <c r="K110" s="16">
        <f>COUNTIF(E3:E110,"=0")</f>
        <v>56</v>
      </c>
      <c r="L110" s="17">
        <f>COUNTIF(H3:H110,"=0")</f>
        <v>72</v>
      </c>
    </row>
    <row r="111" spans="1:12" x14ac:dyDescent="0.25">
      <c r="A111" s="20" t="s">
        <v>116</v>
      </c>
      <c r="B111" s="1">
        <f t="shared" si="5"/>
        <v>0</v>
      </c>
      <c r="C111">
        <v>0</v>
      </c>
      <c r="D111" s="26">
        <v>1E-3</v>
      </c>
      <c r="E111" s="4">
        <f t="shared" si="3"/>
        <v>0</v>
      </c>
      <c r="F111">
        <v>0</v>
      </c>
      <c r="G111" s="26">
        <v>1E-3</v>
      </c>
      <c r="H111" s="4">
        <f t="shared" si="4"/>
        <v>0</v>
      </c>
    </row>
    <row r="112" spans="1:12" x14ac:dyDescent="0.25">
      <c r="A112" s="5" t="s">
        <v>117</v>
      </c>
      <c r="B112" s="1">
        <f t="shared" si="5"/>
        <v>0</v>
      </c>
      <c r="C112">
        <v>0</v>
      </c>
      <c r="D112" s="26">
        <v>0</v>
      </c>
      <c r="E112" s="4">
        <f t="shared" si="3"/>
        <v>0</v>
      </c>
      <c r="F112">
        <v>0</v>
      </c>
      <c r="G112" s="26">
        <v>2E-3</v>
      </c>
      <c r="H112" s="4">
        <f t="shared" si="4"/>
        <v>0</v>
      </c>
    </row>
    <row r="113" spans="1:8" x14ac:dyDescent="0.25">
      <c r="A113" s="3" t="s">
        <v>118</v>
      </c>
      <c r="B113" s="1">
        <f t="shared" si="5"/>
        <v>0</v>
      </c>
      <c r="C113">
        <v>0</v>
      </c>
      <c r="D113" s="26">
        <v>1E-3</v>
      </c>
      <c r="E113" s="4">
        <f t="shared" si="3"/>
        <v>0</v>
      </c>
      <c r="F113">
        <v>0</v>
      </c>
      <c r="G113" s="26">
        <v>1E-3</v>
      </c>
      <c r="H113" s="4">
        <f t="shared" si="4"/>
        <v>0</v>
      </c>
    </row>
    <row r="114" spans="1:8" x14ac:dyDescent="0.25">
      <c r="A114" s="5" t="s">
        <v>119</v>
      </c>
      <c r="B114" s="1">
        <f t="shared" si="5"/>
        <v>0</v>
      </c>
      <c r="C114">
        <v>0</v>
      </c>
      <c r="D114" s="26">
        <v>1E-3</v>
      </c>
      <c r="E114" s="4">
        <f t="shared" si="3"/>
        <v>0</v>
      </c>
      <c r="F114">
        <v>0</v>
      </c>
      <c r="G114" s="26">
        <v>3.0000000000000001E-3</v>
      </c>
      <c r="H114" s="4">
        <f t="shared" si="4"/>
        <v>0</v>
      </c>
    </row>
    <row r="115" spans="1:8" x14ac:dyDescent="0.25">
      <c r="A115" s="3" t="s">
        <v>120</v>
      </c>
      <c r="B115" s="1">
        <f t="shared" si="5"/>
        <v>0</v>
      </c>
      <c r="C115">
        <v>0</v>
      </c>
      <c r="D115" s="26">
        <v>1E-3</v>
      </c>
      <c r="E115" s="4">
        <f t="shared" si="3"/>
        <v>0</v>
      </c>
      <c r="F115">
        <v>0</v>
      </c>
      <c r="G115" s="26">
        <v>1.4E-2</v>
      </c>
      <c r="H115" s="4">
        <f t="shared" si="4"/>
        <v>0</v>
      </c>
    </row>
    <row r="116" spans="1:8" x14ac:dyDescent="0.25">
      <c r="A116" s="5" t="s">
        <v>121</v>
      </c>
      <c r="B116" s="1">
        <f t="shared" si="5"/>
        <v>0</v>
      </c>
      <c r="C116">
        <v>0</v>
      </c>
      <c r="D116" s="26">
        <v>1E-3</v>
      </c>
      <c r="E116" s="4">
        <f t="shared" si="3"/>
        <v>0</v>
      </c>
      <c r="F116">
        <v>0</v>
      </c>
      <c r="G116" s="26">
        <v>2E-3</v>
      </c>
      <c r="H116" s="4">
        <f t="shared" si="4"/>
        <v>0</v>
      </c>
    </row>
    <row r="117" spans="1:8" x14ac:dyDescent="0.25">
      <c r="A117" s="3" t="s">
        <v>122</v>
      </c>
      <c r="B117" s="1">
        <f t="shared" si="5"/>
        <v>0</v>
      </c>
      <c r="C117">
        <v>0</v>
      </c>
      <c r="D117" s="26">
        <v>1E-3</v>
      </c>
      <c r="E117" s="4">
        <f t="shared" si="3"/>
        <v>0</v>
      </c>
      <c r="F117">
        <v>0</v>
      </c>
      <c r="G117" s="26">
        <v>5.0000000000000001E-3</v>
      </c>
      <c r="H117" s="4">
        <f t="shared" si="4"/>
        <v>0</v>
      </c>
    </row>
    <row r="118" spans="1:8" x14ac:dyDescent="0.25">
      <c r="A118" s="5" t="s">
        <v>123</v>
      </c>
      <c r="B118" s="1">
        <f t="shared" si="5"/>
        <v>0</v>
      </c>
      <c r="C118">
        <v>0</v>
      </c>
      <c r="D118" s="26">
        <v>1E-3</v>
      </c>
      <c r="E118" s="4">
        <f t="shared" si="3"/>
        <v>0</v>
      </c>
      <c r="F118">
        <v>0</v>
      </c>
      <c r="G118" s="26">
        <v>2E-3</v>
      </c>
      <c r="H118" s="4">
        <f t="shared" si="4"/>
        <v>0</v>
      </c>
    </row>
    <row r="119" spans="1:8" x14ac:dyDescent="0.25">
      <c r="A119" s="3" t="s">
        <v>124</v>
      </c>
      <c r="B119" s="1">
        <f t="shared" si="5"/>
        <v>0</v>
      </c>
      <c r="C119">
        <v>0</v>
      </c>
      <c r="D119" s="26">
        <v>1E-3</v>
      </c>
      <c r="E119" s="4">
        <f t="shared" si="3"/>
        <v>0</v>
      </c>
      <c r="F119">
        <v>0</v>
      </c>
      <c r="G119" s="26">
        <v>3.0000000000000001E-3</v>
      </c>
      <c r="H119" s="4">
        <f t="shared" si="4"/>
        <v>0</v>
      </c>
    </row>
    <row r="120" spans="1:8" x14ac:dyDescent="0.25">
      <c r="A120" s="5" t="s">
        <v>125</v>
      </c>
      <c r="B120" s="1">
        <f t="shared" si="5"/>
        <v>0</v>
      </c>
      <c r="C120">
        <v>0</v>
      </c>
      <c r="D120" s="26">
        <v>1.4E-2</v>
      </c>
      <c r="E120" s="4">
        <f t="shared" si="3"/>
        <v>0</v>
      </c>
      <c r="F120">
        <v>0</v>
      </c>
      <c r="G120" s="26">
        <v>9.1999999999999998E-2</v>
      </c>
      <c r="H120" s="4">
        <f t="shared" si="4"/>
        <v>0</v>
      </c>
    </row>
    <row r="121" spans="1:8" x14ac:dyDescent="0.25">
      <c r="A121" s="3" t="s">
        <v>126</v>
      </c>
      <c r="B121" s="1">
        <f t="shared" si="5"/>
        <v>0</v>
      </c>
      <c r="C121">
        <v>0</v>
      </c>
      <c r="D121" s="26">
        <v>3.0000000000000001E-3</v>
      </c>
      <c r="E121" s="4">
        <f t="shared" si="3"/>
        <v>0</v>
      </c>
      <c r="F121">
        <v>0</v>
      </c>
      <c r="G121" s="26">
        <v>9.0999999999999998E-2</v>
      </c>
      <c r="H121" s="4">
        <f t="shared" si="4"/>
        <v>0</v>
      </c>
    </row>
    <row r="122" spans="1:8" x14ac:dyDescent="0.25">
      <c r="A122" s="5" t="s">
        <v>127</v>
      </c>
      <c r="B122" s="1">
        <f t="shared" si="5"/>
        <v>0</v>
      </c>
      <c r="C122">
        <v>0</v>
      </c>
      <c r="D122" s="26">
        <v>6.0000000000000001E-3</v>
      </c>
      <c r="E122" s="4">
        <f t="shared" si="3"/>
        <v>0</v>
      </c>
      <c r="F122">
        <v>0</v>
      </c>
      <c r="G122" s="26">
        <v>8.2000000000000003E-2</v>
      </c>
      <c r="H122" s="4">
        <f t="shared" si="4"/>
        <v>0</v>
      </c>
    </row>
    <row r="123" spans="1:8" x14ac:dyDescent="0.25">
      <c r="A123" s="3" t="s">
        <v>128</v>
      </c>
      <c r="B123" s="1">
        <f t="shared" si="5"/>
        <v>0</v>
      </c>
      <c r="C123">
        <v>0</v>
      </c>
      <c r="D123" s="26">
        <v>6.9000000000000006E-2</v>
      </c>
      <c r="E123" s="4">
        <f t="shared" si="3"/>
        <v>0</v>
      </c>
      <c r="F123">
        <v>0</v>
      </c>
      <c r="G123" s="26">
        <v>0.183</v>
      </c>
      <c r="H123" s="4">
        <f t="shared" si="4"/>
        <v>0</v>
      </c>
    </row>
    <row r="124" spans="1:8" x14ac:dyDescent="0.25">
      <c r="A124" s="5" t="s">
        <v>129</v>
      </c>
      <c r="B124" s="1">
        <f t="shared" si="5"/>
        <v>0</v>
      </c>
      <c r="C124">
        <v>0</v>
      </c>
      <c r="D124" s="26">
        <v>6.9000000000000006E-2</v>
      </c>
      <c r="E124" s="4">
        <f t="shared" si="3"/>
        <v>0</v>
      </c>
      <c r="F124">
        <v>0</v>
      </c>
      <c r="G124" s="26">
        <v>0.13300000000000001</v>
      </c>
      <c r="H124" s="4">
        <f t="shared" si="4"/>
        <v>0</v>
      </c>
    </row>
    <row r="125" spans="1:8" x14ac:dyDescent="0.25">
      <c r="A125" s="3" t="s">
        <v>130</v>
      </c>
      <c r="B125" s="1">
        <f t="shared" si="5"/>
        <v>0</v>
      </c>
      <c r="C125">
        <v>0</v>
      </c>
      <c r="D125" s="26">
        <v>6.0000000000000001E-3</v>
      </c>
      <c r="E125" s="4">
        <f t="shared" si="3"/>
        <v>0</v>
      </c>
      <c r="F125">
        <v>0</v>
      </c>
      <c r="G125" s="26">
        <v>0.121</v>
      </c>
      <c r="H125" s="4">
        <f t="shared" si="4"/>
        <v>0</v>
      </c>
    </row>
    <row r="126" spans="1:8" x14ac:dyDescent="0.25">
      <c r="A126" s="5" t="s">
        <v>131</v>
      </c>
      <c r="B126" s="1">
        <f t="shared" si="5"/>
        <v>0</v>
      </c>
      <c r="C126">
        <v>0</v>
      </c>
      <c r="D126" s="26">
        <v>0.30299999999999999</v>
      </c>
      <c r="E126" s="4">
        <f t="shared" si="3"/>
        <v>0</v>
      </c>
      <c r="F126">
        <v>0</v>
      </c>
      <c r="G126" s="26">
        <v>0.16900000000000001</v>
      </c>
      <c r="H126" s="4">
        <f t="shared" si="4"/>
        <v>0</v>
      </c>
    </row>
    <row r="127" spans="1:8" x14ac:dyDescent="0.25">
      <c r="A127" s="3" t="s">
        <v>132</v>
      </c>
      <c r="B127" s="1">
        <f t="shared" si="5"/>
        <v>0</v>
      </c>
      <c r="C127">
        <v>0</v>
      </c>
      <c r="D127" s="26">
        <v>0.05</v>
      </c>
      <c r="E127" s="4">
        <f t="shared" si="3"/>
        <v>0</v>
      </c>
      <c r="F127">
        <v>0</v>
      </c>
      <c r="G127" s="26">
        <v>0.16800000000000001</v>
      </c>
      <c r="H127" s="4">
        <f t="shared" si="4"/>
        <v>0</v>
      </c>
    </row>
    <row r="128" spans="1:8" x14ac:dyDescent="0.25">
      <c r="A128" s="5" t="s">
        <v>133</v>
      </c>
      <c r="B128" s="1">
        <f t="shared" si="5"/>
        <v>0</v>
      </c>
      <c r="C128">
        <v>0</v>
      </c>
      <c r="D128" s="26">
        <v>4.3999999999999997E-2</v>
      </c>
      <c r="E128" s="4">
        <f t="shared" si="3"/>
        <v>0</v>
      </c>
      <c r="F128">
        <v>0</v>
      </c>
      <c r="G128" s="26">
        <v>0.159</v>
      </c>
      <c r="H128" s="4">
        <f t="shared" si="4"/>
        <v>0</v>
      </c>
    </row>
    <row r="129" spans="1:8" x14ac:dyDescent="0.25">
      <c r="A129" s="3" t="s">
        <v>134</v>
      </c>
      <c r="B129" s="1">
        <f t="shared" si="5"/>
        <v>0</v>
      </c>
      <c r="C129">
        <v>0</v>
      </c>
      <c r="D129" s="26">
        <v>2.0259999999999998</v>
      </c>
      <c r="E129" s="4">
        <f t="shared" si="3"/>
        <v>0</v>
      </c>
      <c r="F129">
        <v>0</v>
      </c>
      <c r="G129" s="26">
        <v>0.37</v>
      </c>
      <c r="H129" s="4">
        <f t="shared" si="4"/>
        <v>0</v>
      </c>
    </row>
    <row r="130" spans="1:8" x14ac:dyDescent="0.25">
      <c r="A130" s="5" t="s">
        <v>135</v>
      </c>
      <c r="B130" s="1">
        <f t="shared" si="5"/>
        <v>0</v>
      </c>
      <c r="C130">
        <v>0</v>
      </c>
      <c r="D130" s="26">
        <v>32.926000000000002</v>
      </c>
      <c r="E130" s="4">
        <f t="shared" si="3"/>
        <v>0</v>
      </c>
      <c r="F130">
        <v>0</v>
      </c>
      <c r="G130" s="26">
        <v>0.871</v>
      </c>
      <c r="H130" s="4">
        <f t="shared" si="4"/>
        <v>0</v>
      </c>
    </row>
    <row r="131" spans="1:8" x14ac:dyDescent="0.25">
      <c r="A131" s="3" t="s">
        <v>136</v>
      </c>
      <c r="B131" s="1">
        <f t="shared" si="5"/>
        <v>0</v>
      </c>
      <c r="C131">
        <v>0</v>
      </c>
      <c r="D131" s="26">
        <v>1.1439999999999999</v>
      </c>
      <c r="E131" s="4">
        <f t="shared" ref="E131:E194" si="6">(C131-$B131)/(1+$B131)</f>
        <v>0</v>
      </c>
      <c r="F131">
        <v>0</v>
      </c>
      <c r="G131" s="26">
        <v>0.33100000000000002</v>
      </c>
      <c r="H131" s="4">
        <f t="shared" ref="H131:H194" si="7">(F131-$B131)/(1+$B131)</f>
        <v>0</v>
      </c>
    </row>
    <row r="132" spans="1:8" x14ac:dyDescent="0.25">
      <c r="A132" s="5" t="s">
        <v>137</v>
      </c>
      <c r="B132" s="1">
        <f t="shared" ref="B132:B195" si="8">MIN(C132,F132)</f>
        <v>0</v>
      </c>
      <c r="C132">
        <v>0</v>
      </c>
      <c r="D132" s="26">
        <v>0.41499999999999998</v>
      </c>
      <c r="E132" s="4">
        <f t="shared" si="6"/>
        <v>0</v>
      </c>
      <c r="F132">
        <v>0</v>
      </c>
      <c r="G132" s="26">
        <v>0.85199999999999998</v>
      </c>
      <c r="H132" s="4">
        <f t="shared" si="7"/>
        <v>0</v>
      </c>
    </row>
    <row r="133" spans="1:8" x14ac:dyDescent="0.25">
      <c r="A133" s="3" t="s">
        <v>138</v>
      </c>
      <c r="B133" s="1">
        <f t="shared" si="8"/>
        <v>0</v>
      </c>
      <c r="C133">
        <v>0</v>
      </c>
      <c r="D133" s="26">
        <v>0.27800000000000002</v>
      </c>
      <c r="E133" s="4">
        <f t="shared" si="6"/>
        <v>0</v>
      </c>
      <c r="F133">
        <v>0</v>
      </c>
      <c r="G133" s="26">
        <v>0.497</v>
      </c>
      <c r="H133" s="4">
        <f t="shared" si="7"/>
        <v>0</v>
      </c>
    </row>
    <row r="134" spans="1:8" x14ac:dyDescent="0.25">
      <c r="A134" s="5" t="s">
        <v>139</v>
      </c>
      <c r="B134" s="1">
        <f t="shared" si="8"/>
        <v>0</v>
      </c>
      <c r="C134">
        <v>0</v>
      </c>
      <c r="D134" s="26">
        <v>56.329000000000001</v>
      </c>
      <c r="E134" s="4">
        <f t="shared" si="6"/>
        <v>0</v>
      </c>
      <c r="F134">
        <v>0</v>
      </c>
      <c r="G134" s="26">
        <v>2.1459999999999999</v>
      </c>
      <c r="H134" s="4">
        <f t="shared" si="7"/>
        <v>0</v>
      </c>
    </row>
    <row r="135" spans="1:8" x14ac:dyDescent="0.25">
      <c r="A135" s="3" t="s">
        <v>140</v>
      </c>
      <c r="B135" s="1">
        <f t="shared" si="8"/>
        <v>148</v>
      </c>
      <c r="C135">
        <v>148</v>
      </c>
      <c r="D135" s="26">
        <v>301.00900000000001</v>
      </c>
      <c r="E135" s="4">
        <f t="shared" si="6"/>
        <v>0</v>
      </c>
      <c r="F135">
        <v>148</v>
      </c>
      <c r="G135" s="26">
        <v>301.50299999999999</v>
      </c>
      <c r="H135" s="4">
        <f t="shared" si="7"/>
        <v>0</v>
      </c>
    </row>
    <row r="136" spans="1:8" x14ac:dyDescent="0.25">
      <c r="A136" s="5" t="s">
        <v>141</v>
      </c>
      <c r="B136" s="1">
        <f t="shared" si="8"/>
        <v>0</v>
      </c>
      <c r="C136">
        <v>0</v>
      </c>
      <c r="D136" s="26">
        <v>0.505</v>
      </c>
      <c r="E136" s="4">
        <f t="shared" si="6"/>
        <v>0</v>
      </c>
      <c r="F136">
        <v>0</v>
      </c>
      <c r="G136" s="26">
        <v>0.6</v>
      </c>
      <c r="H136" s="4">
        <f t="shared" si="7"/>
        <v>0</v>
      </c>
    </row>
    <row r="137" spans="1:8" x14ac:dyDescent="0.25">
      <c r="A137" s="3" t="s">
        <v>142</v>
      </c>
      <c r="B137" s="1">
        <f t="shared" si="8"/>
        <v>0</v>
      </c>
      <c r="C137">
        <v>60</v>
      </c>
      <c r="D137" s="26">
        <v>301.02</v>
      </c>
      <c r="E137" s="4">
        <f t="shared" si="6"/>
        <v>60</v>
      </c>
      <c r="F137">
        <v>0</v>
      </c>
      <c r="G137" s="26">
        <v>0.59399999999999997</v>
      </c>
      <c r="H137" s="4">
        <f t="shared" si="7"/>
        <v>0</v>
      </c>
    </row>
    <row r="138" spans="1:8" x14ac:dyDescent="0.25">
      <c r="A138" s="5" t="s">
        <v>143</v>
      </c>
      <c r="B138" s="1">
        <f t="shared" si="8"/>
        <v>0</v>
      </c>
      <c r="C138">
        <v>0</v>
      </c>
      <c r="D138" s="26">
        <v>0.66400000000000003</v>
      </c>
      <c r="E138" s="4">
        <f t="shared" si="6"/>
        <v>0</v>
      </c>
      <c r="F138">
        <v>0</v>
      </c>
      <c r="G138" s="26">
        <v>1.7390000000000001</v>
      </c>
      <c r="H138" s="4">
        <f t="shared" si="7"/>
        <v>0</v>
      </c>
    </row>
    <row r="139" spans="1:8" x14ac:dyDescent="0.25">
      <c r="A139" s="3" t="s">
        <v>144</v>
      </c>
      <c r="B139" s="1">
        <f t="shared" si="8"/>
        <v>0</v>
      </c>
      <c r="C139">
        <v>10</v>
      </c>
      <c r="D139" s="26">
        <v>301.01900000000001</v>
      </c>
      <c r="E139" s="4">
        <f t="shared" si="6"/>
        <v>10</v>
      </c>
      <c r="F139">
        <v>0</v>
      </c>
      <c r="G139" s="26">
        <v>4.4130000000000003</v>
      </c>
      <c r="H139" s="4">
        <f t="shared" si="7"/>
        <v>0</v>
      </c>
    </row>
    <row r="140" spans="1:8" x14ac:dyDescent="0.25">
      <c r="A140" s="5" t="s">
        <v>145</v>
      </c>
      <c r="B140" s="1">
        <f t="shared" si="8"/>
        <v>0</v>
      </c>
      <c r="C140">
        <v>0</v>
      </c>
      <c r="D140" s="26">
        <v>2.1589999999999998</v>
      </c>
      <c r="E140" s="4">
        <f t="shared" si="6"/>
        <v>0</v>
      </c>
      <c r="F140">
        <v>0</v>
      </c>
      <c r="G140" s="26">
        <v>0.91700000000000004</v>
      </c>
      <c r="H140" s="4">
        <f t="shared" si="7"/>
        <v>0</v>
      </c>
    </row>
    <row r="141" spans="1:8" x14ac:dyDescent="0.25">
      <c r="A141" s="3" t="s">
        <v>146</v>
      </c>
      <c r="B141" s="1">
        <f t="shared" si="8"/>
        <v>0</v>
      </c>
      <c r="C141">
        <v>0</v>
      </c>
      <c r="D141" s="26">
        <v>1.9550000000000001</v>
      </c>
      <c r="E141" s="4">
        <f t="shared" si="6"/>
        <v>0</v>
      </c>
      <c r="F141">
        <v>0</v>
      </c>
      <c r="G141" s="26">
        <v>1.41</v>
      </c>
      <c r="H141" s="4">
        <f t="shared" si="7"/>
        <v>0</v>
      </c>
    </row>
    <row r="142" spans="1:8" x14ac:dyDescent="0.25">
      <c r="A142" s="5" t="s">
        <v>147</v>
      </c>
      <c r="B142" s="1">
        <f t="shared" si="8"/>
        <v>0</v>
      </c>
      <c r="C142">
        <v>0</v>
      </c>
      <c r="D142" s="26">
        <v>2.1230000000000002</v>
      </c>
      <c r="E142" s="4">
        <f t="shared" si="6"/>
        <v>0</v>
      </c>
      <c r="F142">
        <v>0</v>
      </c>
      <c r="G142" s="26">
        <v>1.661</v>
      </c>
      <c r="H142" s="4">
        <f t="shared" si="7"/>
        <v>0</v>
      </c>
    </row>
    <row r="143" spans="1:8" x14ac:dyDescent="0.25">
      <c r="A143" s="3" t="s">
        <v>148</v>
      </c>
      <c r="B143" s="1">
        <f t="shared" si="8"/>
        <v>0</v>
      </c>
      <c r="C143">
        <v>30</v>
      </c>
      <c r="D143" s="26">
        <v>301.26</v>
      </c>
      <c r="E143" s="4">
        <f t="shared" si="6"/>
        <v>30</v>
      </c>
      <c r="F143">
        <v>0</v>
      </c>
      <c r="G143" s="26">
        <v>4.2149999999999999</v>
      </c>
      <c r="H143" s="4">
        <f t="shared" si="7"/>
        <v>0</v>
      </c>
    </row>
    <row r="144" spans="1:8" x14ac:dyDescent="0.25">
      <c r="A144" s="5" t="s">
        <v>149</v>
      </c>
      <c r="B144" s="1">
        <f t="shared" si="8"/>
        <v>19</v>
      </c>
      <c r="C144">
        <v>19</v>
      </c>
      <c r="D144" s="26">
        <v>301.12099999999998</v>
      </c>
      <c r="E144" s="4">
        <f t="shared" si="6"/>
        <v>0</v>
      </c>
      <c r="F144">
        <v>19</v>
      </c>
      <c r="G144" s="26">
        <v>302.166</v>
      </c>
      <c r="H144" s="4">
        <f t="shared" si="7"/>
        <v>0</v>
      </c>
    </row>
    <row r="145" spans="1:8" x14ac:dyDescent="0.25">
      <c r="A145" s="3" t="s">
        <v>150</v>
      </c>
      <c r="B145" s="1">
        <f t="shared" si="8"/>
        <v>0</v>
      </c>
      <c r="C145">
        <v>0</v>
      </c>
      <c r="D145" s="26">
        <v>2.33</v>
      </c>
      <c r="E145" s="4">
        <f t="shared" si="6"/>
        <v>0</v>
      </c>
      <c r="F145">
        <v>0</v>
      </c>
      <c r="G145" s="26">
        <v>1.714</v>
      </c>
      <c r="H145" s="4">
        <f t="shared" si="7"/>
        <v>0</v>
      </c>
    </row>
    <row r="146" spans="1:8" x14ac:dyDescent="0.25">
      <c r="A146" s="5" t="s">
        <v>151</v>
      </c>
      <c r="B146" s="1">
        <f t="shared" si="8"/>
        <v>0</v>
      </c>
      <c r="C146">
        <v>393</v>
      </c>
      <c r="D146" s="26">
        <v>301.36</v>
      </c>
      <c r="E146" s="4">
        <f t="shared" si="6"/>
        <v>393</v>
      </c>
      <c r="F146">
        <v>0</v>
      </c>
      <c r="G146" s="26">
        <v>1.7330000000000001</v>
      </c>
      <c r="H146" s="4">
        <f t="shared" si="7"/>
        <v>0</v>
      </c>
    </row>
    <row r="147" spans="1:8" x14ac:dyDescent="0.25">
      <c r="A147" s="3" t="s">
        <v>152</v>
      </c>
      <c r="B147" s="1">
        <f t="shared" si="8"/>
        <v>0</v>
      </c>
      <c r="C147">
        <v>0</v>
      </c>
      <c r="D147" s="26">
        <v>3.3919999999999999</v>
      </c>
      <c r="E147" s="4">
        <f t="shared" si="6"/>
        <v>0</v>
      </c>
      <c r="F147">
        <v>0</v>
      </c>
      <c r="G147" s="26">
        <v>2.2879999999999998</v>
      </c>
      <c r="H147" s="4">
        <f t="shared" si="7"/>
        <v>0</v>
      </c>
    </row>
    <row r="148" spans="1:8" x14ac:dyDescent="0.25">
      <c r="A148" s="5" t="s">
        <v>153</v>
      </c>
      <c r="B148" s="1">
        <f t="shared" si="8"/>
        <v>0</v>
      </c>
      <c r="C148">
        <v>31</v>
      </c>
      <c r="D148" s="26">
        <v>301.02800000000002</v>
      </c>
      <c r="E148" s="4">
        <f t="shared" si="6"/>
        <v>31</v>
      </c>
      <c r="F148">
        <v>0</v>
      </c>
      <c r="G148" s="26">
        <v>7.9029999999999996</v>
      </c>
      <c r="H148" s="4">
        <f t="shared" si="7"/>
        <v>0</v>
      </c>
    </row>
    <row r="149" spans="1:8" x14ac:dyDescent="0.25">
      <c r="A149" s="3" t="s">
        <v>154</v>
      </c>
      <c r="B149" s="1">
        <f t="shared" si="8"/>
        <v>0</v>
      </c>
      <c r="C149">
        <v>0</v>
      </c>
      <c r="D149" s="26">
        <v>6.4889999999999999</v>
      </c>
      <c r="E149" s="4">
        <f t="shared" si="6"/>
        <v>0</v>
      </c>
      <c r="F149">
        <v>0</v>
      </c>
      <c r="G149" s="26">
        <v>2.5289999999999999</v>
      </c>
      <c r="H149" s="4">
        <f t="shared" si="7"/>
        <v>0</v>
      </c>
    </row>
    <row r="150" spans="1:8" x14ac:dyDescent="0.25">
      <c r="A150" s="5" t="s">
        <v>155</v>
      </c>
      <c r="B150" s="1">
        <f t="shared" si="8"/>
        <v>0</v>
      </c>
      <c r="C150">
        <v>0</v>
      </c>
      <c r="D150" s="26">
        <v>6.3310000000000004</v>
      </c>
      <c r="E150" s="4">
        <f t="shared" si="6"/>
        <v>0</v>
      </c>
      <c r="F150">
        <v>0</v>
      </c>
      <c r="G150" s="26">
        <v>3.5139999999999998</v>
      </c>
      <c r="H150" s="4">
        <f t="shared" si="7"/>
        <v>0</v>
      </c>
    </row>
    <row r="151" spans="1:8" x14ac:dyDescent="0.25">
      <c r="A151" s="3" t="s">
        <v>156</v>
      </c>
      <c r="B151" s="1">
        <f t="shared" si="8"/>
        <v>0</v>
      </c>
      <c r="C151">
        <v>0</v>
      </c>
      <c r="D151" s="26">
        <v>8.1660000000000004</v>
      </c>
      <c r="E151" s="4">
        <f t="shared" si="6"/>
        <v>0</v>
      </c>
      <c r="F151">
        <v>0</v>
      </c>
      <c r="G151" s="26">
        <v>3.944</v>
      </c>
      <c r="H151" s="4">
        <f t="shared" si="7"/>
        <v>0</v>
      </c>
    </row>
    <row r="152" spans="1:8" x14ac:dyDescent="0.25">
      <c r="A152" s="5" t="s">
        <v>157</v>
      </c>
      <c r="B152" s="1">
        <f t="shared" si="8"/>
        <v>0</v>
      </c>
      <c r="C152">
        <v>47</v>
      </c>
      <c r="D152" s="26">
        <v>301.02600000000001</v>
      </c>
      <c r="E152" s="4">
        <f t="shared" si="6"/>
        <v>47</v>
      </c>
      <c r="F152">
        <v>0</v>
      </c>
      <c r="G152" s="26">
        <v>22.568000000000001</v>
      </c>
      <c r="H152" s="4">
        <f t="shared" si="7"/>
        <v>0</v>
      </c>
    </row>
    <row r="153" spans="1:8" x14ac:dyDescent="0.25">
      <c r="A153" s="3" t="s">
        <v>158</v>
      </c>
      <c r="B153" s="1">
        <f t="shared" si="8"/>
        <v>24</v>
      </c>
      <c r="C153">
        <v>24</v>
      </c>
      <c r="D153" s="26">
        <v>302.053</v>
      </c>
      <c r="E153" s="4">
        <f t="shared" si="6"/>
        <v>0</v>
      </c>
      <c r="F153">
        <v>24</v>
      </c>
      <c r="G153" s="26">
        <v>301.327</v>
      </c>
      <c r="H153" s="4">
        <f t="shared" si="7"/>
        <v>0</v>
      </c>
    </row>
    <row r="154" spans="1:8" x14ac:dyDescent="0.25">
      <c r="A154" s="5" t="s">
        <v>159</v>
      </c>
      <c r="B154" s="1">
        <f t="shared" si="8"/>
        <v>0</v>
      </c>
      <c r="C154">
        <v>0</v>
      </c>
      <c r="D154" s="26">
        <v>6.1539999999999999</v>
      </c>
      <c r="E154" s="4">
        <f t="shared" si="6"/>
        <v>0</v>
      </c>
      <c r="F154">
        <v>0</v>
      </c>
      <c r="G154" s="26">
        <v>4.37</v>
      </c>
      <c r="H154" s="4">
        <f t="shared" si="7"/>
        <v>0</v>
      </c>
    </row>
    <row r="155" spans="1:8" x14ac:dyDescent="0.25">
      <c r="A155" s="3" t="s">
        <v>160</v>
      </c>
      <c r="B155" s="1">
        <f t="shared" si="8"/>
        <v>0</v>
      </c>
      <c r="C155">
        <v>0</v>
      </c>
      <c r="D155" s="26">
        <v>6.2220000000000004</v>
      </c>
      <c r="E155" s="4">
        <f t="shared" si="6"/>
        <v>0</v>
      </c>
      <c r="F155">
        <v>0</v>
      </c>
      <c r="G155" s="26">
        <v>6.4589999999999996</v>
      </c>
      <c r="H155" s="4">
        <f t="shared" si="7"/>
        <v>0</v>
      </c>
    </row>
    <row r="156" spans="1:8" x14ac:dyDescent="0.25">
      <c r="A156" s="5" t="s">
        <v>161</v>
      </c>
      <c r="B156" s="1">
        <f t="shared" si="8"/>
        <v>0</v>
      </c>
      <c r="C156">
        <v>93</v>
      </c>
      <c r="D156" s="26">
        <v>302.57799999999997</v>
      </c>
      <c r="E156" s="4">
        <f t="shared" si="6"/>
        <v>93</v>
      </c>
      <c r="F156">
        <v>0</v>
      </c>
      <c r="G156" s="26">
        <v>6.3</v>
      </c>
      <c r="H156" s="4">
        <f t="shared" si="7"/>
        <v>0</v>
      </c>
    </row>
    <row r="157" spans="1:8" x14ac:dyDescent="0.25">
      <c r="A157" s="3" t="s">
        <v>162</v>
      </c>
      <c r="B157" s="1">
        <f t="shared" si="8"/>
        <v>0</v>
      </c>
      <c r="C157">
        <v>14</v>
      </c>
      <c r="D157" s="26">
        <v>304.17500000000001</v>
      </c>
      <c r="E157" s="4">
        <f t="shared" si="6"/>
        <v>14</v>
      </c>
      <c r="F157">
        <v>0</v>
      </c>
      <c r="G157" s="26">
        <v>14.066000000000001</v>
      </c>
      <c r="H157" s="4">
        <f t="shared" si="7"/>
        <v>0</v>
      </c>
    </row>
    <row r="158" spans="1:8" x14ac:dyDescent="0.25">
      <c r="A158" s="5" t="s">
        <v>163</v>
      </c>
      <c r="B158" s="1">
        <f t="shared" si="8"/>
        <v>10</v>
      </c>
      <c r="C158">
        <v>28</v>
      </c>
      <c r="D158" s="26">
        <v>301.29700000000003</v>
      </c>
      <c r="E158" s="4">
        <f t="shared" si="6"/>
        <v>1.6363636363636365</v>
      </c>
      <c r="F158">
        <v>10</v>
      </c>
      <c r="G158" s="26">
        <v>303.60899999999998</v>
      </c>
      <c r="H158" s="4">
        <f t="shared" si="7"/>
        <v>0</v>
      </c>
    </row>
    <row r="159" spans="1:8" x14ac:dyDescent="0.25">
      <c r="A159" s="3" t="s">
        <v>164</v>
      </c>
      <c r="B159" s="1">
        <f t="shared" si="8"/>
        <v>0</v>
      </c>
      <c r="C159">
        <v>0</v>
      </c>
      <c r="D159" s="26">
        <v>16.745000000000001</v>
      </c>
      <c r="E159" s="4">
        <f t="shared" si="6"/>
        <v>0</v>
      </c>
      <c r="F159">
        <v>0</v>
      </c>
      <c r="G159" s="26">
        <v>10.015000000000001</v>
      </c>
      <c r="H159" s="4">
        <f t="shared" si="7"/>
        <v>0</v>
      </c>
    </row>
    <row r="160" spans="1:8" x14ac:dyDescent="0.25">
      <c r="A160" s="5" t="s">
        <v>165</v>
      </c>
      <c r="B160" s="1">
        <f t="shared" si="8"/>
        <v>0</v>
      </c>
      <c r="C160">
        <v>0</v>
      </c>
      <c r="D160" s="26">
        <v>19.417999999999999</v>
      </c>
      <c r="E160" s="4">
        <f t="shared" si="6"/>
        <v>0</v>
      </c>
      <c r="F160">
        <v>0</v>
      </c>
      <c r="G160" s="26">
        <v>10.101000000000001</v>
      </c>
      <c r="H160" s="4">
        <f t="shared" si="7"/>
        <v>0</v>
      </c>
    </row>
    <row r="161" spans="1:8" x14ac:dyDescent="0.25">
      <c r="A161" s="3" t="s">
        <v>166</v>
      </c>
      <c r="B161" s="1">
        <f t="shared" si="8"/>
        <v>0</v>
      </c>
      <c r="C161">
        <v>0</v>
      </c>
      <c r="D161" s="26">
        <v>12.867000000000001</v>
      </c>
      <c r="E161" s="4">
        <f t="shared" si="6"/>
        <v>0</v>
      </c>
      <c r="F161">
        <v>0</v>
      </c>
      <c r="G161" s="26">
        <v>27.91</v>
      </c>
      <c r="H161" s="4">
        <f t="shared" si="7"/>
        <v>0</v>
      </c>
    </row>
    <row r="162" spans="1:8" x14ac:dyDescent="0.25">
      <c r="A162" s="5" t="s">
        <v>167</v>
      </c>
      <c r="B162" s="1">
        <f t="shared" si="8"/>
        <v>0</v>
      </c>
      <c r="C162">
        <v>0</v>
      </c>
      <c r="D162" s="26">
        <v>13.327</v>
      </c>
      <c r="E162" s="4">
        <f t="shared" si="6"/>
        <v>0</v>
      </c>
      <c r="F162">
        <v>0</v>
      </c>
      <c r="G162" s="26">
        <v>17.388999999999999</v>
      </c>
      <c r="H162" s="4">
        <f t="shared" si="7"/>
        <v>0</v>
      </c>
    </row>
    <row r="163" spans="1:8" x14ac:dyDescent="0.25">
      <c r="A163" s="3" t="s">
        <v>168</v>
      </c>
      <c r="B163" s="1">
        <f t="shared" si="8"/>
        <v>0</v>
      </c>
      <c r="C163">
        <v>0</v>
      </c>
      <c r="D163" s="26">
        <v>12.2</v>
      </c>
      <c r="E163" s="4">
        <f t="shared" si="6"/>
        <v>0</v>
      </c>
      <c r="F163">
        <v>0</v>
      </c>
      <c r="G163" s="26">
        <v>10.092000000000001</v>
      </c>
      <c r="H163" s="4">
        <f t="shared" si="7"/>
        <v>0</v>
      </c>
    </row>
    <row r="164" spans="1:8" x14ac:dyDescent="0.25">
      <c r="A164" s="5" t="s">
        <v>169</v>
      </c>
      <c r="B164" s="1">
        <f t="shared" si="8"/>
        <v>0</v>
      </c>
      <c r="C164">
        <v>1235</v>
      </c>
      <c r="D164" s="26">
        <v>301.33</v>
      </c>
      <c r="E164" s="4">
        <f t="shared" si="6"/>
        <v>1235</v>
      </c>
      <c r="F164">
        <v>0</v>
      </c>
      <c r="G164" s="26">
        <v>8.6259999999999994</v>
      </c>
      <c r="H164" s="4">
        <f t="shared" si="7"/>
        <v>0</v>
      </c>
    </row>
    <row r="165" spans="1:8" x14ac:dyDescent="0.25">
      <c r="A165" s="3" t="s">
        <v>170</v>
      </c>
      <c r="B165" s="1">
        <f t="shared" si="8"/>
        <v>0</v>
      </c>
      <c r="C165">
        <v>0</v>
      </c>
      <c r="D165" s="26">
        <v>15.659000000000001</v>
      </c>
      <c r="E165" s="4">
        <f t="shared" si="6"/>
        <v>0</v>
      </c>
      <c r="F165">
        <v>0</v>
      </c>
      <c r="G165" s="26">
        <v>13.452</v>
      </c>
      <c r="H165" s="4">
        <f t="shared" si="7"/>
        <v>0</v>
      </c>
    </row>
    <row r="166" spans="1:8" x14ac:dyDescent="0.25">
      <c r="A166" s="5" t="s">
        <v>171</v>
      </c>
      <c r="B166" s="1">
        <f t="shared" si="8"/>
        <v>0</v>
      </c>
      <c r="C166">
        <v>276</v>
      </c>
      <c r="D166" s="26">
        <v>302.94900000000001</v>
      </c>
      <c r="E166" s="4">
        <f t="shared" si="6"/>
        <v>276</v>
      </c>
      <c r="F166">
        <v>0</v>
      </c>
      <c r="G166" s="26">
        <v>37.292999999999999</v>
      </c>
      <c r="H166" s="4">
        <f t="shared" si="7"/>
        <v>0</v>
      </c>
    </row>
    <row r="167" spans="1:8" x14ac:dyDescent="0.25">
      <c r="A167" s="3" t="s">
        <v>172</v>
      </c>
      <c r="B167" s="1">
        <f t="shared" si="8"/>
        <v>0</v>
      </c>
      <c r="C167">
        <v>0</v>
      </c>
      <c r="D167" s="26">
        <v>227.64599999999999</v>
      </c>
      <c r="E167" s="4">
        <f t="shared" si="6"/>
        <v>0</v>
      </c>
      <c r="F167">
        <v>0</v>
      </c>
      <c r="G167" s="26">
        <v>9.3580000000000005</v>
      </c>
      <c r="H167" s="4">
        <f t="shared" si="7"/>
        <v>0</v>
      </c>
    </row>
    <row r="168" spans="1:8" x14ac:dyDescent="0.25">
      <c r="A168" s="5" t="s">
        <v>173</v>
      </c>
      <c r="B168" s="1">
        <f t="shared" si="8"/>
        <v>0</v>
      </c>
      <c r="C168">
        <v>0</v>
      </c>
      <c r="D168" s="26">
        <v>22.975000000000001</v>
      </c>
      <c r="E168" s="4">
        <f t="shared" si="6"/>
        <v>0</v>
      </c>
      <c r="F168">
        <v>0</v>
      </c>
      <c r="G168" s="26">
        <v>16.68</v>
      </c>
      <c r="H168" s="4">
        <f t="shared" si="7"/>
        <v>0</v>
      </c>
    </row>
    <row r="169" spans="1:8" x14ac:dyDescent="0.25">
      <c r="A169" s="3" t="s">
        <v>174</v>
      </c>
      <c r="B169" s="1">
        <f t="shared" si="8"/>
        <v>0</v>
      </c>
      <c r="C169">
        <v>0</v>
      </c>
      <c r="D169" s="26">
        <v>31.135999999999999</v>
      </c>
      <c r="E169" s="4">
        <f t="shared" si="6"/>
        <v>0</v>
      </c>
      <c r="F169">
        <v>0</v>
      </c>
      <c r="G169" s="26">
        <v>21.303000000000001</v>
      </c>
      <c r="H169" s="4">
        <f t="shared" si="7"/>
        <v>0</v>
      </c>
    </row>
    <row r="170" spans="1:8" x14ac:dyDescent="0.25">
      <c r="A170" s="5" t="s">
        <v>175</v>
      </c>
      <c r="B170" s="1">
        <f t="shared" si="8"/>
        <v>0</v>
      </c>
      <c r="C170">
        <v>537</v>
      </c>
      <c r="D170" s="26">
        <v>309.58800000000002</v>
      </c>
      <c r="E170" s="4">
        <f t="shared" si="6"/>
        <v>537</v>
      </c>
      <c r="F170">
        <v>0</v>
      </c>
      <c r="G170" s="26">
        <v>52.962000000000003</v>
      </c>
      <c r="H170" s="4">
        <f t="shared" si="7"/>
        <v>0</v>
      </c>
    </row>
    <row r="171" spans="1:8" x14ac:dyDescent="0.25">
      <c r="A171" s="3" t="s">
        <v>176</v>
      </c>
      <c r="B171" s="1">
        <f t="shared" si="8"/>
        <v>0</v>
      </c>
      <c r="C171">
        <v>0</v>
      </c>
      <c r="D171" s="26">
        <v>66.799000000000007</v>
      </c>
      <c r="E171" s="4">
        <f t="shared" si="6"/>
        <v>0</v>
      </c>
      <c r="F171">
        <v>0</v>
      </c>
      <c r="G171" s="26">
        <v>23.382000000000001</v>
      </c>
      <c r="H171" s="4">
        <f t="shared" si="7"/>
        <v>0</v>
      </c>
    </row>
    <row r="172" spans="1:8" x14ac:dyDescent="0.25">
      <c r="A172" s="5" t="s">
        <v>177</v>
      </c>
      <c r="B172" s="1">
        <f t="shared" si="8"/>
        <v>0</v>
      </c>
      <c r="C172">
        <v>0</v>
      </c>
      <c r="D172" s="26">
        <v>30.757000000000001</v>
      </c>
      <c r="E172" s="4">
        <f t="shared" si="6"/>
        <v>0</v>
      </c>
      <c r="F172">
        <v>0</v>
      </c>
      <c r="G172" s="26">
        <v>18.600000000000001</v>
      </c>
      <c r="H172" s="4">
        <f t="shared" si="7"/>
        <v>0</v>
      </c>
    </row>
    <row r="173" spans="1:8" x14ac:dyDescent="0.25">
      <c r="A173" s="3" t="s">
        <v>178</v>
      </c>
      <c r="B173" s="1">
        <f t="shared" si="8"/>
        <v>0</v>
      </c>
      <c r="C173">
        <v>1936</v>
      </c>
      <c r="D173" s="26">
        <v>305.83800000000002</v>
      </c>
      <c r="E173" s="4">
        <f t="shared" si="6"/>
        <v>1936</v>
      </c>
      <c r="F173">
        <v>0</v>
      </c>
      <c r="G173" s="26">
        <v>40.792999999999999</v>
      </c>
      <c r="H173" s="4">
        <f t="shared" si="7"/>
        <v>0</v>
      </c>
    </row>
    <row r="174" spans="1:8" x14ac:dyDescent="0.25">
      <c r="A174" s="5" t="s">
        <v>179</v>
      </c>
      <c r="B174" s="1">
        <f t="shared" si="8"/>
        <v>0</v>
      </c>
      <c r="C174">
        <v>0</v>
      </c>
      <c r="D174" s="26">
        <v>37.295000000000002</v>
      </c>
      <c r="E174" s="4">
        <f t="shared" si="6"/>
        <v>0</v>
      </c>
      <c r="F174">
        <v>0</v>
      </c>
      <c r="G174" s="26">
        <v>22.481999999999999</v>
      </c>
      <c r="H174" s="4">
        <f t="shared" si="7"/>
        <v>0</v>
      </c>
    </row>
    <row r="175" spans="1:8" x14ac:dyDescent="0.25">
      <c r="A175" s="3" t="s">
        <v>180</v>
      </c>
      <c r="B175" s="1">
        <f t="shared" si="8"/>
        <v>0</v>
      </c>
      <c r="C175">
        <v>603</v>
      </c>
      <c r="D175" s="26">
        <v>302.31</v>
      </c>
      <c r="E175" s="4">
        <f t="shared" si="6"/>
        <v>603</v>
      </c>
      <c r="F175">
        <v>0</v>
      </c>
      <c r="G175" s="26">
        <v>50.95</v>
      </c>
      <c r="H175" s="4">
        <f t="shared" si="7"/>
        <v>0</v>
      </c>
    </row>
    <row r="176" spans="1:8" x14ac:dyDescent="0.25">
      <c r="A176" s="5" t="s">
        <v>181</v>
      </c>
      <c r="B176" s="1">
        <f t="shared" si="8"/>
        <v>46</v>
      </c>
      <c r="C176">
        <v>122</v>
      </c>
      <c r="D176" s="26">
        <v>312.71300000000002</v>
      </c>
      <c r="E176" s="4">
        <f t="shared" si="6"/>
        <v>1.6170212765957446</v>
      </c>
      <c r="F176">
        <v>46</v>
      </c>
      <c r="G176" s="26">
        <v>354.07900000000001</v>
      </c>
      <c r="H176" s="4">
        <f t="shared" si="7"/>
        <v>0</v>
      </c>
    </row>
    <row r="177" spans="1:8" x14ac:dyDescent="0.25">
      <c r="A177" s="3" t="s">
        <v>182</v>
      </c>
      <c r="B177" s="1">
        <f t="shared" si="8"/>
        <v>0</v>
      </c>
      <c r="C177">
        <v>0</v>
      </c>
      <c r="D177" s="26">
        <v>58.707000000000001</v>
      </c>
      <c r="E177" s="4">
        <f t="shared" si="6"/>
        <v>0</v>
      </c>
      <c r="F177">
        <v>0</v>
      </c>
      <c r="G177" s="26">
        <v>23.779</v>
      </c>
      <c r="H177" s="4">
        <f t="shared" si="7"/>
        <v>0</v>
      </c>
    </row>
    <row r="178" spans="1:8" x14ac:dyDescent="0.25">
      <c r="A178" s="5" t="s">
        <v>183</v>
      </c>
      <c r="B178" s="1">
        <f t="shared" si="8"/>
        <v>0</v>
      </c>
      <c r="C178">
        <v>0</v>
      </c>
      <c r="D178" s="26">
        <v>78.786000000000001</v>
      </c>
      <c r="E178" s="4">
        <f t="shared" si="6"/>
        <v>0</v>
      </c>
      <c r="F178">
        <v>0</v>
      </c>
      <c r="G178" s="26">
        <v>26.643999999999998</v>
      </c>
      <c r="H178" s="4">
        <f t="shared" si="7"/>
        <v>0</v>
      </c>
    </row>
    <row r="179" spans="1:8" x14ac:dyDescent="0.25">
      <c r="A179" s="3" t="s">
        <v>184</v>
      </c>
      <c r="B179" s="1">
        <f t="shared" si="8"/>
        <v>0</v>
      </c>
      <c r="C179">
        <v>1903</v>
      </c>
      <c r="D179" s="26">
        <v>305.19400000000002</v>
      </c>
      <c r="E179" s="4">
        <f t="shared" si="6"/>
        <v>1903</v>
      </c>
      <c r="F179">
        <v>0</v>
      </c>
      <c r="G179" s="26">
        <v>140.26599999999999</v>
      </c>
      <c r="H179" s="4">
        <f t="shared" si="7"/>
        <v>0</v>
      </c>
    </row>
    <row r="180" spans="1:8" x14ac:dyDescent="0.25">
      <c r="A180" s="5" t="s">
        <v>185</v>
      </c>
      <c r="B180" s="1">
        <f t="shared" si="8"/>
        <v>0</v>
      </c>
      <c r="C180">
        <v>0</v>
      </c>
      <c r="D180" s="26">
        <v>72.995000000000005</v>
      </c>
      <c r="E180" s="4">
        <f t="shared" si="6"/>
        <v>0</v>
      </c>
      <c r="F180">
        <v>0</v>
      </c>
      <c r="G180" s="26">
        <v>64.141000000000005</v>
      </c>
      <c r="H180" s="4">
        <f t="shared" si="7"/>
        <v>0</v>
      </c>
    </row>
    <row r="181" spans="1:8" x14ac:dyDescent="0.25">
      <c r="A181" s="3" t="s">
        <v>186</v>
      </c>
      <c r="B181" s="1">
        <f t="shared" si="8"/>
        <v>0</v>
      </c>
      <c r="C181">
        <v>0</v>
      </c>
      <c r="D181" s="26">
        <v>58.488</v>
      </c>
      <c r="E181" s="4">
        <f t="shared" si="6"/>
        <v>0</v>
      </c>
      <c r="F181">
        <v>0</v>
      </c>
      <c r="G181" s="26">
        <v>32.436</v>
      </c>
      <c r="H181" s="4">
        <f t="shared" si="7"/>
        <v>0</v>
      </c>
    </row>
    <row r="182" spans="1:8" x14ac:dyDescent="0.25">
      <c r="A182" s="5" t="s">
        <v>187</v>
      </c>
      <c r="B182" s="1">
        <f t="shared" si="8"/>
        <v>0</v>
      </c>
      <c r="C182">
        <v>0</v>
      </c>
      <c r="D182" s="26">
        <v>106.61</v>
      </c>
      <c r="E182" s="4">
        <f t="shared" si="6"/>
        <v>0</v>
      </c>
      <c r="F182">
        <v>0</v>
      </c>
      <c r="G182" s="26">
        <v>90.891000000000005</v>
      </c>
      <c r="H182" s="4">
        <f t="shared" si="7"/>
        <v>0</v>
      </c>
    </row>
    <row r="183" spans="1:8" x14ac:dyDescent="0.25">
      <c r="A183" s="3" t="s">
        <v>188</v>
      </c>
      <c r="B183" s="1">
        <f t="shared" si="8"/>
        <v>0</v>
      </c>
      <c r="C183">
        <v>333</v>
      </c>
      <c r="D183" s="26">
        <v>313.74</v>
      </c>
      <c r="E183" s="4">
        <f t="shared" si="6"/>
        <v>333</v>
      </c>
      <c r="F183">
        <v>0</v>
      </c>
      <c r="G183" s="26">
        <v>32.369999999999997</v>
      </c>
      <c r="H183" s="4">
        <f t="shared" si="7"/>
        <v>0</v>
      </c>
    </row>
    <row r="184" spans="1:8" x14ac:dyDescent="0.25">
      <c r="A184" s="5" t="s">
        <v>189</v>
      </c>
      <c r="B184" s="1">
        <f t="shared" si="8"/>
        <v>0</v>
      </c>
      <c r="C184">
        <v>581</v>
      </c>
      <c r="D184" s="26">
        <v>303.28399999999999</v>
      </c>
      <c r="E184" s="4">
        <f t="shared" si="6"/>
        <v>581</v>
      </c>
      <c r="F184">
        <v>0</v>
      </c>
      <c r="G184" s="26">
        <v>66.528999999999996</v>
      </c>
      <c r="H184" s="4">
        <f t="shared" si="7"/>
        <v>0</v>
      </c>
    </row>
    <row r="185" spans="1:8" x14ac:dyDescent="0.25">
      <c r="A185" s="3" t="s">
        <v>190</v>
      </c>
      <c r="B185" s="1">
        <f t="shared" si="8"/>
        <v>8</v>
      </c>
      <c r="C185">
        <v>51</v>
      </c>
      <c r="D185" s="26">
        <v>306.33800000000002</v>
      </c>
      <c r="E185" s="4">
        <f t="shared" si="6"/>
        <v>4.7777777777777777</v>
      </c>
      <c r="F185">
        <v>8</v>
      </c>
      <c r="G185" s="26">
        <v>303.39699999999999</v>
      </c>
      <c r="H185" s="4">
        <f t="shared" si="7"/>
        <v>0</v>
      </c>
    </row>
    <row r="186" spans="1:8" x14ac:dyDescent="0.25">
      <c r="A186" s="5" t="s">
        <v>191</v>
      </c>
      <c r="B186" s="1">
        <f t="shared" si="8"/>
        <v>0</v>
      </c>
      <c r="C186">
        <v>0</v>
      </c>
      <c r="D186" s="26">
        <v>88.103999999999999</v>
      </c>
      <c r="E186" s="4">
        <f t="shared" si="6"/>
        <v>0</v>
      </c>
      <c r="F186">
        <v>0</v>
      </c>
      <c r="G186" s="26">
        <v>58.557000000000002</v>
      </c>
      <c r="H186" s="4">
        <f t="shared" si="7"/>
        <v>0</v>
      </c>
    </row>
    <row r="187" spans="1:8" x14ac:dyDescent="0.25">
      <c r="A187" s="3" t="s">
        <v>192</v>
      </c>
      <c r="B187" s="1">
        <f t="shared" si="8"/>
        <v>0</v>
      </c>
      <c r="C187">
        <v>0</v>
      </c>
      <c r="D187" s="26">
        <v>129.304</v>
      </c>
      <c r="E187" s="4">
        <f t="shared" si="6"/>
        <v>0</v>
      </c>
      <c r="F187">
        <v>0</v>
      </c>
      <c r="G187" s="26">
        <v>47.515000000000001</v>
      </c>
      <c r="H187" s="4">
        <f t="shared" si="7"/>
        <v>0</v>
      </c>
    </row>
    <row r="188" spans="1:8" x14ac:dyDescent="0.25">
      <c r="A188" s="5" t="s">
        <v>193</v>
      </c>
      <c r="B188" s="1">
        <f t="shared" si="8"/>
        <v>0</v>
      </c>
      <c r="C188">
        <v>1379</v>
      </c>
      <c r="D188" s="26">
        <v>303.95800000000003</v>
      </c>
      <c r="E188" s="4">
        <f t="shared" si="6"/>
        <v>1379</v>
      </c>
      <c r="F188">
        <v>0</v>
      </c>
      <c r="G188" s="26">
        <v>180.69399999999999</v>
      </c>
      <c r="H188" s="4">
        <f t="shared" si="7"/>
        <v>0</v>
      </c>
    </row>
    <row r="189" spans="1:8" x14ac:dyDescent="0.25">
      <c r="A189" s="3" t="s">
        <v>194</v>
      </c>
      <c r="B189" s="1">
        <f t="shared" si="8"/>
        <v>0</v>
      </c>
      <c r="C189">
        <v>0</v>
      </c>
      <c r="D189" s="26">
        <v>97.263999999999996</v>
      </c>
      <c r="E189" s="4">
        <f t="shared" si="6"/>
        <v>0</v>
      </c>
      <c r="F189">
        <v>0</v>
      </c>
      <c r="G189" s="26">
        <v>77.716999999999999</v>
      </c>
      <c r="H189" s="4">
        <f t="shared" si="7"/>
        <v>0</v>
      </c>
    </row>
    <row r="190" spans="1:8" x14ac:dyDescent="0.25">
      <c r="A190" s="5" t="s">
        <v>195</v>
      </c>
      <c r="B190" s="1">
        <f t="shared" si="8"/>
        <v>0</v>
      </c>
      <c r="C190">
        <v>0</v>
      </c>
      <c r="D190" s="26">
        <v>105.07899999999999</v>
      </c>
      <c r="E190" s="4">
        <f t="shared" si="6"/>
        <v>0</v>
      </c>
      <c r="F190">
        <v>0</v>
      </c>
      <c r="G190" s="26">
        <v>69.623000000000005</v>
      </c>
      <c r="H190" s="4">
        <f t="shared" si="7"/>
        <v>0</v>
      </c>
    </row>
    <row r="191" spans="1:8" x14ac:dyDescent="0.25">
      <c r="A191" s="3" t="s">
        <v>196</v>
      </c>
      <c r="B191" s="1">
        <f t="shared" si="8"/>
        <v>0</v>
      </c>
      <c r="C191">
        <v>7872</v>
      </c>
      <c r="D191" s="26">
        <v>310.089</v>
      </c>
      <c r="E191" s="4">
        <f t="shared" si="6"/>
        <v>7872</v>
      </c>
      <c r="F191">
        <v>0</v>
      </c>
      <c r="G191" s="26">
        <v>58.637</v>
      </c>
      <c r="H191" s="4">
        <f t="shared" si="7"/>
        <v>0</v>
      </c>
    </row>
    <row r="192" spans="1:8" x14ac:dyDescent="0.25">
      <c r="A192" s="5" t="s">
        <v>197</v>
      </c>
      <c r="B192" s="1">
        <f t="shared" si="8"/>
        <v>0</v>
      </c>
      <c r="C192">
        <v>391</v>
      </c>
      <c r="D192" s="26">
        <v>318.91300000000001</v>
      </c>
      <c r="E192" s="4">
        <f t="shared" si="6"/>
        <v>391</v>
      </c>
      <c r="F192">
        <v>0</v>
      </c>
      <c r="G192" s="26">
        <v>25.292000000000002</v>
      </c>
      <c r="H192" s="4">
        <f t="shared" si="7"/>
        <v>0</v>
      </c>
    </row>
    <row r="193" spans="1:8" x14ac:dyDescent="0.25">
      <c r="A193" s="3" t="s">
        <v>198</v>
      </c>
      <c r="B193" s="1">
        <f t="shared" si="8"/>
        <v>0</v>
      </c>
      <c r="C193">
        <v>878</v>
      </c>
      <c r="D193" s="26">
        <v>303.29899999999998</v>
      </c>
      <c r="E193" s="4">
        <f t="shared" si="6"/>
        <v>878</v>
      </c>
      <c r="F193">
        <v>0</v>
      </c>
      <c r="G193" s="26">
        <v>118.185</v>
      </c>
      <c r="H193" s="4">
        <f t="shared" si="7"/>
        <v>0</v>
      </c>
    </row>
    <row r="194" spans="1:8" x14ac:dyDescent="0.25">
      <c r="A194" s="5" t="s">
        <v>199</v>
      </c>
      <c r="B194" s="1">
        <f t="shared" si="8"/>
        <v>202</v>
      </c>
      <c r="C194">
        <v>392</v>
      </c>
      <c r="D194" s="26">
        <v>318.06900000000002</v>
      </c>
      <c r="E194" s="4">
        <f t="shared" si="6"/>
        <v>0.93596059113300489</v>
      </c>
      <c r="F194">
        <v>202</v>
      </c>
      <c r="G194" s="26">
        <v>390.97300000000001</v>
      </c>
      <c r="H194" s="4">
        <f t="shared" si="7"/>
        <v>0</v>
      </c>
    </row>
    <row r="195" spans="1:8" x14ac:dyDescent="0.25">
      <c r="A195" s="3" t="s">
        <v>200</v>
      </c>
      <c r="B195" s="1">
        <f t="shared" si="8"/>
        <v>0</v>
      </c>
      <c r="C195">
        <v>0</v>
      </c>
      <c r="D195" s="26">
        <v>170.71</v>
      </c>
      <c r="E195" s="4">
        <f t="shared" ref="E195:E258" si="9">(C195-$B195)/(1+$B195)</f>
        <v>0</v>
      </c>
      <c r="F195">
        <v>0</v>
      </c>
      <c r="G195" s="26">
        <v>62.378999999999998</v>
      </c>
      <c r="H195" s="4">
        <f t="shared" ref="H195:H258" si="10">(F195-$B195)/(1+$B195)</f>
        <v>0</v>
      </c>
    </row>
    <row r="196" spans="1:8" x14ac:dyDescent="0.25">
      <c r="A196" s="5" t="s">
        <v>201</v>
      </c>
      <c r="B196" s="1">
        <f t="shared" ref="B196:B259" si="11">MIN(C196,F196)</f>
        <v>0</v>
      </c>
      <c r="C196">
        <v>0</v>
      </c>
      <c r="D196" s="26">
        <v>197.53299999999999</v>
      </c>
      <c r="E196" s="4">
        <f t="shared" si="9"/>
        <v>0</v>
      </c>
      <c r="F196">
        <v>0</v>
      </c>
      <c r="G196" s="26">
        <v>89.963999999999999</v>
      </c>
      <c r="H196" s="4">
        <f t="shared" si="10"/>
        <v>0</v>
      </c>
    </row>
    <row r="197" spans="1:8" x14ac:dyDescent="0.25">
      <c r="A197" s="3" t="s">
        <v>202</v>
      </c>
      <c r="B197" s="1">
        <f t="shared" si="11"/>
        <v>0</v>
      </c>
      <c r="C197">
        <v>2539</v>
      </c>
      <c r="D197" s="26">
        <v>301.56599999999997</v>
      </c>
      <c r="E197" s="4">
        <f t="shared" si="9"/>
        <v>2539</v>
      </c>
      <c r="F197">
        <v>0</v>
      </c>
      <c r="G197" s="26">
        <v>220.02799999999999</v>
      </c>
      <c r="H197" s="4">
        <f t="shared" si="10"/>
        <v>0</v>
      </c>
    </row>
    <row r="198" spans="1:8" x14ac:dyDescent="0.25">
      <c r="A198" s="5" t="s">
        <v>203</v>
      </c>
      <c r="B198" s="1">
        <f t="shared" si="11"/>
        <v>0</v>
      </c>
      <c r="C198">
        <v>0</v>
      </c>
      <c r="D198" s="26">
        <v>169.751</v>
      </c>
      <c r="E198" s="4">
        <f t="shared" si="9"/>
        <v>0</v>
      </c>
      <c r="F198">
        <v>0</v>
      </c>
      <c r="G198" s="26">
        <v>100.556</v>
      </c>
      <c r="H198" s="4">
        <f t="shared" si="10"/>
        <v>0</v>
      </c>
    </row>
    <row r="199" spans="1:8" x14ac:dyDescent="0.25">
      <c r="A199" s="3" t="s">
        <v>204</v>
      </c>
      <c r="B199" s="1">
        <f t="shared" si="11"/>
        <v>0</v>
      </c>
      <c r="C199">
        <v>0</v>
      </c>
      <c r="D199" s="26">
        <v>273.57</v>
      </c>
      <c r="E199" s="4">
        <f t="shared" si="9"/>
        <v>0</v>
      </c>
      <c r="F199">
        <v>0</v>
      </c>
      <c r="G199" s="26">
        <v>96.001999999999995</v>
      </c>
      <c r="H199" s="4">
        <f t="shared" si="10"/>
        <v>0</v>
      </c>
    </row>
    <row r="200" spans="1:8" x14ac:dyDescent="0.25">
      <c r="A200" s="5" t="s">
        <v>205</v>
      </c>
      <c r="B200" s="1">
        <f t="shared" si="11"/>
        <v>0</v>
      </c>
      <c r="C200">
        <v>15005</v>
      </c>
      <c r="D200" s="26">
        <v>305.601</v>
      </c>
      <c r="E200" s="4">
        <f t="shared" si="9"/>
        <v>15005</v>
      </c>
      <c r="F200">
        <v>0</v>
      </c>
      <c r="G200" s="26">
        <v>307.12599999999998</v>
      </c>
      <c r="H200" s="4">
        <f t="shared" si="10"/>
        <v>0</v>
      </c>
    </row>
    <row r="201" spans="1:8" x14ac:dyDescent="0.25">
      <c r="A201" s="3" t="s">
        <v>206</v>
      </c>
      <c r="B201" s="1">
        <f t="shared" si="11"/>
        <v>0</v>
      </c>
      <c r="C201">
        <v>0</v>
      </c>
      <c r="D201" s="26">
        <v>161.553</v>
      </c>
      <c r="E201" s="4">
        <f t="shared" si="9"/>
        <v>0</v>
      </c>
      <c r="F201">
        <v>0</v>
      </c>
      <c r="G201" s="26">
        <v>48.390999999999998</v>
      </c>
      <c r="H201" s="4">
        <f t="shared" si="10"/>
        <v>0</v>
      </c>
    </row>
    <row r="202" spans="1:8" x14ac:dyDescent="0.25">
      <c r="A202" s="5" t="s">
        <v>207</v>
      </c>
      <c r="B202" s="1">
        <f t="shared" si="11"/>
        <v>0</v>
      </c>
      <c r="C202">
        <v>614</v>
      </c>
      <c r="D202" s="26">
        <v>305.303</v>
      </c>
      <c r="E202" s="4">
        <f t="shared" si="9"/>
        <v>614</v>
      </c>
      <c r="F202">
        <v>0</v>
      </c>
      <c r="G202" s="26">
        <v>187.476</v>
      </c>
      <c r="H202" s="4">
        <f t="shared" si="10"/>
        <v>0</v>
      </c>
    </row>
    <row r="203" spans="1:8" x14ac:dyDescent="0.25">
      <c r="A203" s="3" t="s">
        <v>208</v>
      </c>
      <c r="B203" s="1">
        <f t="shared" si="11"/>
        <v>321</v>
      </c>
      <c r="C203">
        <v>577</v>
      </c>
      <c r="D203" s="26">
        <v>301.60700000000003</v>
      </c>
      <c r="E203" s="4">
        <f t="shared" si="9"/>
        <v>0.79503105590062106</v>
      </c>
      <c r="F203">
        <v>321</v>
      </c>
      <c r="G203" s="26">
        <v>319.50599999999997</v>
      </c>
      <c r="H203" s="4">
        <f t="shared" si="10"/>
        <v>0</v>
      </c>
    </row>
    <row r="204" spans="1:8" x14ac:dyDescent="0.25">
      <c r="A204" s="5" t="s">
        <v>209</v>
      </c>
      <c r="B204" s="1">
        <f t="shared" si="11"/>
        <v>0</v>
      </c>
      <c r="C204">
        <v>1</v>
      </c>
      <c r="D204" s="26">
        <v>306.91000000000003</v>
      </c>
      <c r="E204" s="4">
        <f t="shared" si="9"/>
        <v>1</v>
      </c>
      <c r="F204">
        <v>0</v>
      </c>
      <c r="G204" s="26">
        <v>172.86500000000001</v>
      </c>
      <c r="H204" s="4">
        <f t="shared" si="10"/>
        <v>0</v>
      </c>
    </row>
    <row r="205" spans="1:8" x14ac:dyDescent="0.25">
      <c r="A205" s="3" t="s">
        <v>210</v>
      </c>
      <c r="B205" s="1">
        <f t="shared" si="11"/>
        <v>0</v>
      </c>
      <c r="C205">
        <v>0</v>
      </c>
      <c r="D205" s="26">
        <v>302.83499999999998</v>
      </c>
      <c r="E205" s="4">
        <f t="shared" si="9"/>
        <v>0</v>
      </c>
      <c r="F205">
        <v>0</v>
      </c>
      <c r="G205" s="26">
        <v>116.06699999999999</v>
      </c>
      <c r="H205" s="4">
        <f t="shared" si="10"/>
        <v>0</v>
      </c>
    </row>
    <row r="206" spans="1:8" x14ac:dyDescent="0.25">
      <c r="A206" s="5" t="s">
        <v>211</v>
      </c>
      <c r="B206" s="1">
        <f t="shared" si="11"/>
        <v>1</v>
      </c>
      <c r="C206">
        <v>1</v>
      </c>
      <c r="D206" s="26">
        <v>316.70800000000003</v>
      </c>
      <c r="E206" s="4">
        <f t="shared" si="9"/>
        <v>0</v>
      </c>
      <c r="F206">
        <v>1324</v>
      </c>
      <c r="G206" s="26">
        <v>301.19400000000002</v>
      </c>
      <c r="H206" s="4">
        <f t="shared" si="10"/>
        <v>661.5</v>
      </c>
    </row>
    <row r="207" spans="1:8" x14ac:dyDescent="0.25">
      <c r="A207" s="3" t="s">
        <v>212</v>
      </c>
      <c r="B207" s="1">
        <f t="shared" si="11"/>
        <v>0</v>
      </c>
      <c r="C207">
        <v>0</v>
      </c>
      <c r="D207" s="26">
        <v>251.36799999999999</v>
      </c>
      <c r="E207" s="4">
        <f t="shared" si="9"/>
        <v>0</v>
      </c>
      <c r="F207">
        <v>0</v>
      </c>
      <c r="G207" s="26">
        <v>412.178</v>
      </c>
      <c r="H207" s="4">
        <f t="shared" si="10"/>
        <v>0</v>
      </c>
    </row>
    <row r="208" spans="1:8" x14ac:dyDescent="0.25">
      <c r="A208" s="5" t="s">
        <v>213</v>
      </c>
      <c r="B208" s="1">
        <f t="shared" si="11"/>
        <v>0</v>
      </c>
      <c r="C208">
        <v>1</v>
      </c>
      <c r="D208" s="26">
        <v>305.32400000000001</v>
      </c>
      <c r="E208" s="4">
        <f t="shared" si="9"/>
        <v>1</v>
      </c>
      <c r="F208">
        <v>0</v>
      </c>
      <c r="G208" s="26">
        <v>180.023</v>
      </c>
      <c r="H208" s="4">
        <f t="shared" si="10"/>
        <v>0</v>
      </c>
    </row>
    <row r="209" spans="1:12" x14ac:dyDescent="0.25">
      <c r="A209" s="3" t="s">
        <v>214</v>
      </c>
      <c r="B209" s="1">
        <f t="shared" si="11"/>
        <v>0</v>
      </c>
      <c r="C209">
        <v>0</v>
      </c>
      <c r="D209" s="26">
        <v>303.767</v>
      </c>
      <c r="E209" s="4">
        <f t="shared" si="9"/>
        <v>0</v>
      </c>
      <c r="F209">
        <v>0</v>
      </c>
      <c r="G209" s="26">
        <v>92.71</v>
      </c>
      <c r="H209" s="4">
        <f t="shared" si="10"/>
        <v>0</v>
      </c>
    </row>
    <row r="210" spans="1:12" x14ac:dyDescent="0.25">
      <c r="A210" s="5" t="s">
        <v>215</v>
      </c>
      <c r="B210" s="1">
        <f t="shared" si="11"/>
        <v>631</v>
      </c>
      <c r="C210">
        <v>633</v>
      </c>
      <c r="D210" s="26">
        <v>344.40699999999998</v>
      </c>
      <c r="E210" s="4">
        <f t="shared" si="9"/>
        <v>3.1645569620253164E-3</v>
      </c>
      <c r="F210">
        <v>631</v>
      </c>
      <c r="G210" s="26">
        <v>303.02600000000001</v>
      </c>
      <c r="H210" s="4">
        <f t="shared" si="10"/>
        <v>0</v>
      </c>
    </row>
    <row r="211" spans="1:12" x14ac:dyDescent="0.25">
      <c r="A211" s="3" t="s">
        <v>216</v>
      </c>
      <c r="B211" s="1">
        <f t="shared" si="11"/>
        <v>800</v>
      </c>
      <c r="C211">
        <v>1258</v>
      </c>
      <c r="D211" s="26">
        <v>366.34399999999999</v>
      </c>
      <c r="E211" s="4">
        <f t="shared" si="9"/>
        <v>0.57178526841448185</v>
      </c>
      <c r="F211">
        <v>800</v>
      </c>
      <c r="G211" s="26">
        <v>308.22800000000001</v>
      </c>
      <c r="H211" s="4">
        <f t="shared" si="10"/>
        <v>0</v>
      </c>
    </row>
    <row r="212" spans="1:12" x14ac:dyDescent="0.25">
      <c r="A212" s="5" t="s">
        <v>217</v>
      </c>
      <c r="B212" s="1">
        <f t="shared" si="11"/>
        <v>378</v>
      </c>
      <c r="C212">
        <v>1064</v>
      </c>
      <c r="D212" s="26">
        <v>302.27800000000002</v>
      </c>
      <c r="E212" s="4">
        <f t="shared" si="9"/>
        <v>1.8100263852242744</v>
      </c>
      <c r="F212">
        <v>378</v>
      </c>
      <c r="G212" s="26">
        <v>383.95400000000001</v>
      </c>
      <c r="H212" s="4">
        <f t="shared" si="10"/>
        <v>0</v>
      </c>
    </row>
    <row r="213" spans="1:12" x14ac:dyDescent="0.25">
      <c r="A213" s="3" t="s">
        <v>218</v>
      </c>
      <c r="B213" s="1">
        <f t="shared" si="11"/>
        <v>0</v>
      </c>
      <c r="C213">
        <v>3</v>
      </c>
      <c r="D213" s="26">
        <v>311.21499999999997</v>
      </c>
      <c r="E213" s="4">
        <f t="shared" si="9"/>
        <v>3</v>
      </c>
      <c r="F213">
        <v>0</v>
      </c>
      <c r="G213" s="26">
        <v>170.274</v>
      </c>
      <c r="H213" s="4">
        <f t="shared" si="10"/>
        <v>0</v>
      </c>
    </row>
    <row r="214" spans="1:12" x14ac:dyDescent="0.25">
      <c r="A214" s="5" t="s">
        <v>219</v>
      </c>
      <c r="B214" s="1">
        <f t="shared" si="11"/>
        <v>0</v>
      </c>
      <c r="C214">
        <v>42</v>
      </c>
      <c r="D214" s="26">
        <v>301.786</v>
      </c>
      <c r="E214" s="4">
        <f t="shared" si="9"/>
        <v>42</v>
      </c>
      <c r="F214">
        <v>0</v>
      </c>
      <c r="G214" s="26">
        <v>211.471</v>
      </c>
      <c r="H214" s="4">
        <f t="shared" si="10"/>
        <v>0</v>
      </c>
    </row>
    <row r="215" spans="1:12" x14ac:dyDescent="0.25">
      <c r="A215" s="3" t="s">
        <v>220</v>
      </c>
      <c r="B215" s="1">
        <f t="shared" si="11"/>
        <v>70</v>
      </c>
      <c r="C215">
        <v>70</v>
      </c>
      <c r="D215" s="26">
        <v>303.06700000000001</v>
      </c>
      <c r="E215" s="4">
        <f t="shared" si="9"/>
        <v>0</v>
      </c>
      <c r="F215">
        <v>4587</v>
      </c>
      <c r="G215" s="26">
        <v>357.51900000000001</v>
      </c>
      <c r="H215" s="4">
        <f t="shared" si="10"/>
        <v>63.619718309859152</v>
      </c>
    </row>
    <row r="216" spans="1:12" x14ac:dyDescent="0.25">
      <c r="A216" s="5" t="s">
        <v>221</v>
      </c>
      <c r="B216" s="1">
        <f t="shared" si="11"/>
        <v>0</v>
      </c>
      <c r="C216">
        <v>11</v>
      </c>
      <c r="D216" s="26">
        <v>305.113</v>
      </c>
      <c r="E216" s="4">
        <f t="shared" si="9"/>
        <v>11</v>
      </c>
      <c r="F216">
        <v>0</v>
      </c>
      <c r="G216" s="26">
        <v>247.036</v>
      </c>
      <c r="H216" s="4">
        <f t="shared" si="10"/>
        <v>0</v>
      </c>
    </row>
    <row r="217" spans="1:12" x14ac:dyDescent="0.25">
      <c r="A217" s="3" t="s">
        <v>222</v>
      </c>
      <c r="B217" s="1">
        <f t="shared" si="11"/>
        <v>0</v>
      </c>
      <c r="C217">
        <v>82</v>
      </c>
      <c r="D217" s="26">
        <v>302.71699999999998</v>
      </c>
      <c r="E217" s="4">
        <f t="shared" si="9"/>
        <v>82</v>
      </c>
      <c r="F217">
        <v>0</v>
      </c>
      <c r="G217" s="26">
        <v>186.19800000000001</v>
      </c>
      <c r="H217" s="4">
        <f t="shared" si="10"/>
        <v>0</v>
      </c>
    </row>
    <row r="218" spans="1:12" x14ac:dyDescent="0.25">
      <c r="A218" s="5" t="s">
        <v>223</v>
      </c>
      <c r="B218" s="1">
        <f t="shared" si="11"/>
        <v>0</v>
      </c>
      <c r="C218">
        <v>29785</v>
      </c>
      <c r="D218" s="26">
        <v>306.45699999999999</v>
      </c>
      <c r="E218" s="4">
        <f t="shared" si="9"/>
        <v>29785</v>
      </c>
      <c r="F218">
        <v>0</v>
      </c>
      <c r="G218" s="26">
        <v>154.029</v>
      </c>
      <c r="H218" s="4">
        <f t="shared" si="10"/>
        <v>0</v>
      </c>
    </row>
    <row r="219" spans="1:12" x14ac:dyDescent="0.25">
      <c r="A219" s="3" t="s">
        <v>224</v>
      </c>
      <c r="B219" s="1">
        <f t="shared" si="11"/>
        <v>0</v>
      </c>
      <c r="C219">
        <v>23</v>
      </c>
      <c r="D219" s="26">
        <v>301.447</v>
      </c>
      <c r="E219" s="4">
        <f t="shared" si="9"/>
        <v>23</v>
      </c>
      <c r="F219">
        <v>0</v>
      </c>
      <c r="G219" s="26">
        <v>223.929</v>
      </c>
      <c r="H219" s="4">
        <f t="shared" si="10"/>
        <v>0</v>
      </c>
    </row>
    <row r="220" spans="1:12" x14ac:dyDescent="0.25">
      <c r="A220" s="5" t="s">
        <v>225</v>
      </c>
      <c r="B220" s="1">
        <f t="shared" si="11"/>
        <v>1053</v>
      </c>
      <c r="C220">
        <v>1053</v>
      </c>
      <c r="D220" s="26">
        <v>302.31</v>
      </c>
      <c r="E220" s="4">
        <f t="shared" si="9"/>
        <v>0</v>
      </c>
      <c r="F220">
        <v>2323</v>
      </c>
      <c r="G220" s="26">
        <v>304.39400000000001</v>
      </c>
      <c r="H220" s="4">
        <f t="shared" si="10"/>
        <v>1.2049335863377608</v>
      </c>
    </row>
    <row r="221" spans="1:12" ht="15.75" thickBot="1" x14ac:dyDescent="0.3">
      <c r="A221" s="3" t="s">
        <v>226</v>
      </c>
      <c r="B221" s="1">
        <f t="shared" si="11"/>
        <v>354</v>
      </c>
      <c r="C221">
        <v>821</v>
      </c>
      <c r="D221" s="26">
        <v>305.90699999999998</v>
      </c>
      <c r="E221" s="4">
        <f t="shared" si="9"/>
        <v>1.3154929577464789</v>
      </c>
      <c r="F221">
        <v>354</v>
      </c>
      <c r="G221" s="26">
        <v>391.36</v>
      </c>
      <c r="H221" s="4">
        <f t="shared" si="10"/>
        <v>0</v>
      </c>
    </row>
    <row r="222" spans="1:12" ht="15.75" thickBot="1" x14ac:dyDescent="0.3">
      <c r="A222" s="5" t="s">
        <v>227</v>
      </c>
      <c r="B222" s="1">
        <f t="shared" si="11"/>
        <v>0</v>
      </c>
      <c r="C222">
        <v>53</v>
      </c>
      <c r="D222" s="26">
        <v>303.44900000000001</v>
      </c>
      <c r="E222" s="4">
        <f t="shared" si="9"/>
        <v>53</v>
      </c>
      <c r="F222">
        <v>0</v>
      </c>
      <c r="G222" s="26">
        <v>266.39499999999998</v>
      </c>
      <c r="H222" s="4">
        <f t="shared" si="10"/>
        <v>0</v>
      </c>
      <c r="J222" s="40" t="s">
        <v>228</v>
      </c>
      <c r="K222" s="41"/>
      <c r="L222" s="42"/>
    </row>
    <row r="223" spans="1:12" x14ac:dyDescent="0.25">
      <c r="A223" s="3" t="s">
        <v>229</v>
      </c>
      <c r="B223" s="1">
        <f t="shared" si="11"/>
        <v>0</v>
      </c>
      <c r="C223">
        <v>255</v>
      </c>
      <c r="D223" s="26">
        <v>306.52600000000001</v>
      </c>
      <c r="E223" s="4">
        <f t="shared" si="9"/>
        <v>255</v>
      </c>
      <c r="F223">
        <v>0</v>
      </c>
      <c r="G223" s="26">
        <v>309.34699999999998</v>
      </c>
      <c r="H223" s="4">
        <f t="shared" si="10"/>
        <v>0</v>
      </c>
      <c r="J223" s="6"/>
      <c r="K223" s="7" t="str">
        <f>$C$1</f>
        <v>BVNS</v>
      </c>
      <c r="L223" s="8" t="str">
        <f>$F$1</f>
        <v>UCB1</v>
      </c>
    </row>
    <row r="224" spans="1:12" x14ac:dyDescent="0.25">
      <c r="A224" s="5" t="s">
        <v>230</v>
      </c>
      <c r="B224" s="1">
        <f t="shared" si="11"/>
        <v>5177</v>
      </c>
      <c r="C224">
        <v>5177</v>
      </c>
      <c r="D224" s="26">
        <v>302.22500000000002</v>
      </c>
      <c r="E224" s="4">
        <f t="shared" si="9"/>
        <v>0</v>
      </c>
      <c r="F224">
        <v>5497</v>
      </c>
      <c r="G224" s="26">
        <v>359.07</v>
      </c>
      <c r="H224" s="4">
        <f t="shared" si="10"/>
        <v>6.1799922750096561E-2</v>
      </c>
      <c r="J224" s="9" t="s">
        <v>3</v>
      </c>
      <c r="K224" s="10">
        <f>AVERAGE(C111:C227)</f>
        <v>689.28205128205127</v>
      </c>
      <c r="L224" s="11">
        <f>AVERAGE(F111:F227)</f>
        <v>142.4957264957265</v>
      </c>
    </row>
    <row r="225" spans="1:12" x14ac:dyDescent="0.25">
      <c r="A225" s="3" t="s">
        <v>231</v>
      </c>
      <c r="B225" s="1">
        <f t="shared" si="11"/>
        <v>0</v>
      </c>
      <c r="C225">
        <v>1046</v>
      </c>
      <c r="D225" s="26">
        <v>301.60399999999998</v>
      </c>
      <c r="E225" s="4">
        <f t="shared" si="9"/>
        <v>1046</v>
      </c>
      <c r="F225">
        <v>0</v>
      </c>
      <c r="G225" s="26">
        <v>310.92200000000003</v>
      </c>
      <c r="H225" s="4">
        <f t="shared" si="10"/>
        <v>0</v>
      </c>
      <c r="J225" s="9" t="s">
        <v>4</v>
      </c>
      <c r="K225" s="10">
        <f>AVERAGE(D111:D227)</f>
        <v>164.30721367521363</v>
      </c>
      <c r="L225" s="11">
        <f>AVERAGE(G111:G227)</f>
        <v>98.504521367521392</v>
      </c>
    </row>
    <row r="226" spans="1:12" x14ac:dyDescent="0.25">
      <c r="A226" s="5" t="s">
        <v>232</v>
      </c>
      <c r="B226" s="1">
        <f t="shared" si="11"/>
        <v>0</v>
      </c>
      <c r="C226">
        <v>986</v>
      </c>
      <c r="D226" s="26">
        <v>301.327</v>
      </c>
      <c r="E226" s="4">
        <f t="shared" si="9"/>
        <v>986</v>
      </c>
      <c r="F226">
        <v>0</v>
      </c>
      <c r="G226" s="26">
        <v>283.11900000000003</v>
      </c>
      <c r="H226" s="4">
        <f t="shared" si="10"/>
        <v>0</v>
      </c>
      <c r="J226" s="12" t="s">
        <v>5</v>
      </c>
      <c r="K226" s="29">
        <f>AVERAGE(E111:E227)</f>
        <v>591.63643267953944</v>
      </c>
      <c r="L226" s="30">
        <f>AVERAGE(H111:H227)</f>
        <v>6.2084312121277527</v>
      </c>
    </row>
    <row r="227" spans="1:12" ht="15.75" thickBot="1" x14ac:dyDescent="0.3">
      <c r="A227" s="21" t="s">
        <v>233</v>
      </c>
      <c r="B227" s="19">
        <f t="shared" si="11"/>
        <v>0</v>
      </c>
      <c r="C227" s="27">
        <v>160</v>
      </c>
      <c r="D227" s="28">
        <v>302.76</v>
      </c>
      <c r="E227" s="13">
        <f t="shared" si="9"/>
        <v>160</v>
      </c>
      <c r="F227" s="27">
        <v>0</v>
      </c>
      <c r="G227" s="28">
        <v>187.34</v>
      </c>
      <c r="H227" s="13">
        <f t="shared" si="10"/>
        <v>0</v>
      </c>
      <c r="I227" s="14"/>
      <c r="J227" s="15" t="s">
        <v>115</v>
      </c>
      <c r="K227" s="16">
        <f>COUNTIF(E111:E227,"=0")</f>
        <v>72</v>
      </c>
      <c r="L227" s="17">
        <f>COUNTIF(H111:H227,"=0")</f>
        <v>113</v>
      </c>
    </row>
    <row r="228" spans="1:12" x14ac:dyDescent="0.25">
      <c r="A228" s="20" t="s">
        <v>234</v>
      </c>
      <c r="B228" s="1">
        <f t="shared" si="11"/>
        <v>0</v>
      </c>
      <c r="C228">
        <v>0</v>
      </c>
      <c r="D228" s="26">
        <v>1E-3</v>
      </c>
      <c r="E228" s="4">
        <f t="shared" si="9"/>
        <v>0</v>
      </c>
      <c r="F228">
        <v>0</v>
      </c>
      <c r="G228" s="26">
        <v>2E-3</v>
      </c>
      <c r="H228" s="4">
        <f t="shared" si="10"/>
        <v>0</v>
      </c>
    </row>
    <row r="229" spans="1:12" x14ac:dyDescent="0.25">
      <c r="A229" s="5" t="s">
        <v>235</v>
      </c>
      <c r="B229" s="1">
        <f t="shared" si="11"/>
        <v>0</v>
      </c>
      <c r="C229">
        <v>0</v>
      </c>
      <c r="D229" s="26">
        <v>1E-3</v>
      </c>
      <c r="E229" s="4">
        <f t="shared" si="9"/>
        <v>0</v>
      </c>
      <c r="F229">
        <v>0</v>
      </c>
      <c r="G229" s="26">
        <v>2E-3</v>
      </c>
      <c r="H229" s="4">
        <f t="shared" si="10"/>
        <v>0</v>
      </c>
    </row>
    <row r="230" spans="1:12" x14ac:dyDescent="0.25">
      <c r="A230" s="3" t="s">
        <v>236</v>
      </c>
      <c r="B230" s="1">
        <f t="shared" si="11"/>
        <v>0</v>
      </c>
      <c r="C230">
        <v>0</v>
      </c>
      <c r="D230" s="26">
        <v>2E-3</v>
      </c>
      <c r="E230" s="4">
        <f t="shared" si="9"/>
        <v>0</v>
      </c>
      <c r="F230">
        <v>0</v>
      </c>
      <c r="G230" s="26">
        <v>1E-3</v>
      </c>
      <c r="H230" s="4">
        <f t="shared" si="10"/>
        <v>0</v>
      </c>
    </row>
    <row r="231" spans="1:12" x14ac:dyDescent="0.25">
      <c r="A231" s="5" t="s">
        <v>237</v>
      </c>
      <c r="B231" s="1">
        <f t="shared" si="11"/>
        <v>0</v>
      </c>
      <c r="C231">
        <v>0</v>
      </c>
      <c r="D231" s="26">
        <v>1E-3</v>
      </c>
      <c r="E231" s="4">
        <f t="shared" si="9"/>
        <v>0</v>
      </c>
      <c r="F231">
        <v>0</v>
      </c>
      <c r="G231" s="26">
        <v>3.0000000000000001E-3</v>
      </c>
      <c r="H231" s="4">
        <f t="shared" si="10"/>
        <v>0</v>
      </c>
    </row>
    <row r="232" spans="1:12" x14ac:dyDescent="0.25">
      <c r="A232" s="3" t="s">
        <v>238</v>
      </c>
      <c r="B232" s="1">
        <f t="shared" si="11"/>
        <v>0</v>
      </c>
      <c r="C232">
        <v>0</v>
      </c>
      <c r="D232" s="26">
        <v>1E-3</v>
      </c>
      <c r="E232" s="4">
        <f t="shared" si="9"/>
        <v>0</v>
      </c>
      <c r="F232">
        <v>0</v>
      </c>
      <c r="G232" s="26">
        <v>3.0000000000000001E-3</v>
      </c>
      <c r="H232" s="4">
        <f t="shared" si="10"/>
        <v>0</v>
      </c>
    </row>
    <row r="233" spans="1:12" x14ac:dyDescent="0.25">
      <c r="A233" s="5" t="s">
        <v>239</v>
      </c>
      <c r="B233" s="1">
        <f t="shared" si="11"/>
        <v>0</v>
      </c>
      <c r="C233">
        <v>0</v>
      </c>
      <c r="D233" s="26">
        <v>1E-3</v>
      </c>
      <c r="E233" s="4">
        <f t="shared" si="9"/>
        <v>0</v>
      </c>
      <c r="F233">
        <v>0</v>
      </c>
      <c r="G233" s="26">
        <v>1E-3</v>
      </c>
      <c r="H233" s="4">
        <f t="shared" si="10"/>
        <v>0</v>
      </c>
    </row>
    <row r="234" spans="1:12" x14ac:dyDescent="0.25">
      <c r="A234" s="3" t="s">
        <v>240</v>
      </c>
      <c r="B234" s="1">
        <f t="shared" si="11"/>
        <v>0</v>
      </c>
      <c r="C234">
        <v>0</v>
      </c>
      <c r="D234" s="26">
        <v>1E-3</v>
      </c>
      <c r="E234" s="4">
        <f t="shared" si="9"/>
        <v>0</v>
      </c>
      <c r="F234">
        <v>0</v>
      </c>
      <c r="G234" s="26">
        <v>1.4999999999999999E-2</v>
      </c>
      <c r="H234" s="4">
        <f t="shared" si="10"/>
        <v>0</v>
      </c>
    </row>
    <row r="235" spans="1:12" x14ac:dyDescent="0.25">
      <c r="A235" s="5" t="s">
        <v>241</v>
      </c>
      <c r="B235" s="1">
        <f t="shared" si="11"/>
        <v>0</v>
      </c>
      <c r="C235">
        <v>0</v>
      </c>
      <c r="D235" s="26">
        <v>2E-3</v>
      </c>
      <c r="E235" s="4">
        <f t="shared" si="9"/>
        <v>0</v>
      </c>
      <c r="F235">
        <v>0</v>
      </c>
      <c r="G235" s="26">
        <v>1.6E-2</v>
      </c>
      <c r="H235" s="4">
        <f t="shared" si="10"/>
        <v>0</v>
      </c>
    </row>
    <row r="236" spans="1:12" x14ac:dyDescent="0.25">
      <c r="A236" s="3" t="s">
        <v>242</v>
      </c>
      <c r="B236" s="1">
        <f t="shared" si="11"/>
        <v>0</v>
      </c>
      <c r="C236">
        <v>0</v>
      </c>
      <c r="D236" s="26">
        <v>1E-3</v>
      </c>
      <c r="E236" s="4">
        <f t="shared" si="9"/>
        <v>0</v>
      </c>
      <c r="F236">
        <v>0</v>
      </c>
      <c r="G236" s="26">
        <v>1.4E-2</v>
      </c>
      <c r="H236" s="4">
        <f t="shared" si="10"/>
        <v>0</v>
      </c>
    </row>
    <row r="237" spans="1:12" x14ac:dyDescent="0.25">
      <c r="A237" s="5" t="s">
        <v>243</v>
      </c>
      <c r="B237" s="1">
        <f t="shared" si="11"/>
        <v>0</v>
      </c>
      <c r="C237">
        <v>0</v>
      </c>
      <c r="D237" s="26">
        <v>3.1E-2</v>
      </c>
      <c r="E237" s="4">
        <f t="shared" si="9"/>
        <v>0</v>
      </c>
      <c r="F237">
        <v>0</v>
      </c>
      <c r="G237" s="26">
        <v>7.5999999999999998E-2</v>
      </c>
      <c r="H237" s="4">
        <f t="shared" si="10"/>
        <v>0</v>
      </c>
    </row>
    <row r="238" spans="1:12" x14ac:dyDescent="0.25">
      <c r="A238" s="3" t="s">
        <v>244</v>
      </c>
      <c r="B238" s="1">
        <f t="shared" si="11"/>
        <v>0</v>
      </c>
      <c r="C238">
        <v>0</v>
      </c>
      <c r="D238" s="26">
        <v>0.46200000000000002</v>
      </c>
      <c r="E238" s="4">
        <f t="shared" si="9"/>
        <v>0</v>
      </c>
      <c r="F238">
        <v>0</v>
      </c>
      <c r="G238" s="26">
        <v>60.548999999999999</v>
      </c>
      <c r="H238" s="4">
        <f t="shared" si="10"/>
        <v>0</v>
      </c>
    </row>
    <row r="239" spans="1:12" x14ac:dyDescent="0.25">
      <c r="A239" s="5" t="s">
        <v>245</v>
      </c>
      <c r="B239" s="1">
        <f t="shared" si="11"/>
        <v>0</v>
      </c>
      <c r="C239">
        <v>0</v>
      </c>
      <c r="D239" s="26">
        <v>1.4E-2</v>
      </c>
      <c r="E239" s="4">
        <f t="shared" si="9"/>
        <v>0</v>
      </c>
      <c r="F239">
        <v>0</v>
      </c>
      <c r="G239" s="26">
        <v>7.4999999999999997E-2</v>
      </c>
      <c r="H239" s="4">
        <f t="shared" si="10"/>
        <v>0</v>
      </c>
    </row>
    <row r="240" spans="1:12" x14ac:dyDescent="0.25">
      <c r="A240" s="3" t="s">
        <v>246</v>
      </c>
      <c r="B240" s="1">
        <f t="shared" si="11"/>
        <v>56</v>
      </c>
      <c r="C240">
        <v>56</v>
      </c>
      <c r="D240" s="26">
        <v>301.00299999999999</v>
      </c>
      <c r="E240" s="4">
        <f t="shared" si="9"/>
        <v>0</v>
      </c>
      <c r="F240">
        <v>57</v>
      </c>
      <c r="G240" s="26">
        <v>301.06299999999999</v>
      </c>
      <c r="H240" s="4">
        <f t="shared" si="10"/>
        <v>1.7543859649122806E-2</v>
      </c>
    </row>
    <row r="241" spans="1:8" x14ac:dyDescent="0.25">
      <c r="A241" s="5" t="s">
        <v>247</v>
      </c>
      <c r="B241" s="1">
        <f t="shared" si="11"/>
        <v>119</v>
      </c>
      <c r="C241">
        <v>119</v>
      </c>
      <c r="D241" s="26">
        <v>301.00400000000002</v>
      </c>
      <c r="E241" s="4">
        <f t="shared" si="9"/>
        <v>0</v>
      </c>
      <c r="F241">
        <v>119</v>
      </c>
      <c r="G241" s="26">
        <v>301.05799999999999</v>
      </c>
      <c r="H241" s="4">
        <f t="shared" si="10"/>
        <v>0</v>
      </c>
    </row>
    <row r="242" spans="1:8" x14ac:dyDescent="0.25">
      <c r="A242" s="3" t="s">
        <v>248</v>
      </c>
      <c r="B242" s="1">
        <f t="shared" si="11"/>
        <v>77</v>
      </c>
      <c r="C242">
        <v>77</v>
      </c>
      <c r="D242" s="26">
        <v>301.01</v>
      </c>
      <c r="E242" s="4">
        <f t="shared" si="9"/>
        <v>0</v>
      </c>
      <c r="F242">
        <v>77</v>
      </c>
      <c r="G242" s="26">
        <v>301.02199999999999</v>
      </c>
      <c r="H242" s="4">
        <f t="shared" si="10"/>
        <v>0</v>
      </c>
    </row>
    <row r="243" spans="1:8" x14ac:dyDescent="0.25">
      <c r="A243" s="5" t="s">
        <v>249</v>
      </c>
      <c r="B243" s="1">
        <f t="shared" si="11"/>
        <v>253</v>
      </c>
      <c r="C243">
        <v>253</v>
      </c>
      <c r="D243" s="26">
        <v>301.01</v>
      </c>
      <c r="E243" s="4">
        <f t="shared" si="9"/>
        <v>0</v>
      </c>
      <c r="F243">
        <v>253</v>
      </c>
      <c r="G243" s="26">
        <v>301.02199999999999</v>
      </c>
      <c r="H243" s="4">
        <f t="shared" si="10"/>
        <v>0</v>
      </c>
    </row>
    <row r="244" spans="1:8" x14ac:dyDescent="0.25">
      <c r="A244" s="3" t="s">
        <v>250</v>
      </c>
      <c r="B244" s="1">
        <f t="shared" si="11"/>
        <v>419</v>
      </c>
      <c r="C244">
        <v>419</v>
      </c>
      <c r="D244" s="26">
        <v>301.00400000000002</v>
      </c>
      <c r="E244" s="4">
        <f t="shared" si="9"/>
        <v>0</v>
      </c>
      <c r="F244">
        <v>419</v>
      </c>
      <c r="G244" s="26">
        <v>301.01499999999999</v>
      </c>
      <c r="H244" s="4">
        <f t="shared" si="10"/>
        <v>0</v>
      </c>
    </row>
    <row r="245" spans="1:8" x14ac:dyDescent="0.25">
      <c r="A245" s="5" t="s">
        <v>251</v>
      </c>
      <c r="B245" s="1">
        <f t="shared" si="11"/>
        <v>223</v>
      </c>
      <c r="C245">
        <v>223</v>
      </c>
      <c r="D245" s="26">
        <v>301.005</v>
      </c>
      <c r="E245" s="4">
        <f t="shared" si="9"/>
        <v>0</v>
      </c>
      <c r="F245">
        <v>223</v>
      </c>
      <c r="G245" s="26">
        <v>301.17099999999999</v>
      </c>
      <c r="H245" s="4">
        <f t="shared" si="10"/>
        <v>0</v>
      </c>
    </row>
    <row r="246" spans="1:8" x14ac:dyDescent="0.25">
      <c r="A246" s="3" t="s">
        <v>252</v>
      </c>
      <c r="B246" s="1">
        <f t="shared" si="11"/>
        <v>4</v>
      </c>
      <c r="C246">
        <v>4</v>
      </c>
      <c r="D246" s="26">
        <v>301.017</v>
      </c>
      <c r="E246" s="4">
        <f t="shared" si="9"/>
        <v>0</v>
      </c>
      <c r="F246">
        <v>5</v>
      </c>
      <c r="G246" s="26">
        <v>301.00799999999998</v>
      </c>
      <c r="H246" s="4">
        <f t="shared" si="10"/>
        <v>0.2</v>
      </c>
    </row>
    <row r="247" spans="1:8" x14ac:dyDescent="0.25">
      <c r="A247" s="5" t="s">
        <v>253</v>
      </c>
      <c r="B247" s="1">
        <f t="shared" si="11"/>
        <v>41</v>
      </c>
      <c r="C247">
        <v>41</v>
      </c>
      <c r="D247" s="26">
        <v>301</v>
      </c>
      <c r="E247" s="4">
        <f t="shared" si="9"/>
        <v>0</v>
      </c>
      <c r="F247">
        <v>49</v>
      </c>
      <c r="G247" s="26">
        <v>302.28100000000001</v>
      </c>
      <c r="H247" s="4">
        <f t="shared" si="10"/>
        <v>0.19047619047619047</v>
      </c>
    </row>
    <row r="248" spans="1:8" x14ac:dyDescent="0.25">
      <c r="A248" s="3" t="s">
        <v>254</v>
      </c>
      <c r="B248" s="1">
        <f t="shared" si="11"/>
        <v>9</v>
      </c>
      <c r="C248">
        <v>9</v>
      </c>
      <c r="D248" s="26">
        <v>301.01900000000001</v>
      </c>
      <c r="E248" s="4">
        <f t="shared" si="9"/>
        <v>0</v>
      </c>
      <c r="F248">
        <v>13</v>
      </c>
      <c r="G248" s="26">
        <v>302.36700000000002</v>
      </c>
      <c r="H248" s="4">
        <f t="shared" si="10"/>
        <v>0.4</v>
      </c>
    </row>
    <row r="249" spans="1:8" x14ac:dyDescent="0.25">
      <c r="A249" s="5" t="s">
        <v>255</v>
      </c>
      <c r="B249" s="1">
        <f t="shared" si="11"/>
        <v>358</v>
      </c>
      <c r="C249">
        <v>358</v>
      </c>
      <c r="D249" s="26">
        <v>301.06099999999998</v>
      </c>
      <c r="E249" s="4">
        <f t="shared" si="9"/>
        <v>0</v>
      </c>
      <c r="F249">
        <v>364</v>
      </c>
      <c r="G249" s="26">
        <v>301.04700000000003</v>
      </c>
      <c r="H249" s="4">
        <f t="shared" si="10"/>
        <v>1.6713091922005572E-2</v>
      </c>
    </row>
    <row r="250" spans="1:8" x14ac:dyDescent="0.25">
      <c r="A250" s="3" t="s">
        <v>256</v>
      </c>
      <c r="B250" s="1">
        <f t="shared" si="11"/>
        <v>728</v>
      </c>
      <c r="C250">
        <v>728</v>
      </c>
      <c r="D250" s="26">
        <v>301.03899999999999</v>
      </c>
      <c r="E250" s="4">
        <f t="shared" si="9"/>
        <v>0</v>
      </c>
      <c r="F250">
        <v>730</v>
      </c>
      <c r="G250" s="26">
        <v>301.76100000000002</v>
      </c>
      <c r="H250" s="4">
        <f t="shared" si="10"/>
        <v>2.7434842249657062E-3</v>
      </c>
    </row>
    <row r="251" spans="1:8" x14ac:dyDescent="0.25">
      <c r="A251" s="5" t="s">
        <v>257</v>
      </c>
      <c r="B251" s="1">
        <f t="shared" si="11"/>
        <v>357</v>
      </c>
      <c r="C251">
        <v>357</v>
      </c>
      <c r="D251" s="26">
        <v>301.154</v>
      </c>
      <c r="E251" s="4">
        <f t="shared" si="9"/>
        <v>0</v>
      </c>
      <c r="F251">
        <v>359</v>
      </c>
      <c r="G251" s="26">
        <v>301.762</v>
      </c>
      <c r="H251" s="4">
        <f t="shared" si="10"/>
        <v>5.5865921787709499E-3</v>
      </c>
    </row>
    <row r="252" spans="1:8" x14ac:dyDescent="0.25">
      <c r="A252" s="3" t="s">
        <v>258</v>
      </c>
      <c r="B252" s="1">
        <f t="shared" si="11"/>
        <v>1531</v>
      </c>
      <c r="C252">
        <v>1531</v>
      </c>
      <c r="D252" s="26">
        <v>301.06200000000001</v>
      </c>
      <c r="E252" s="4">
        <f t="shared" si="9"/>
        <v>0</v>
      </c>
      <c r="F252">
        <v>1532</v>
      </c>
      <c r="G252" s="26">
        <v>301.66899999999998</v>
      </c>
      <c r="H252" s="4">
        <f t="shared" si="10"/>
        <v>6.5274151436031332E-4</v>
      </c>
    </row>
    <row r="253" spans="1:8" x14ac:dyDescent="0.25">
      <c r="A253" s="5" t="s">
        <v>259</v>
      </c>
      <c r="B253" s="1">
        <f t="shared" si="11"/>
        <v>2582</v>
      </c>
      <c r="C253">
        <v>2582</v>
      </c>
      <c r="D253" s="26">
        <v>301</v>
      </c>
      <c r="E253" s="4">
        <f t="shared" si="9"/>
        <v>0</v>
      </c>
      <c r="F253">
        <v>2584</v>
      </c>
      <c r="G253" s="26">
        <v>301.37200000000001</v>
      </c>
      <c r="H253" s="4">
        <f t="shared" si="10"/>
        <v>7.7429345722028649E-4</v>
      </c>
    </row>
    <row r="254" spans="1:8" x14ac:dyDescent="0.25">
      <c r="A254" s="3" t="s">
        <v>260</v>
      </c>
      <c r="B254" s="1">
        <f t="shared" si="11"/>
        <v>1476</v>
      </c>
      <c r="C254">
        <v>1476</v>
      </c>
      <c r="D254" s="26">
        <v>301.024</v>
      </c>
      <c r="E254" s="4">
        <f t="shared" si="9"/>
        <v>0</v>
      </c>
      <c r="F254">
        <v>1497</v>
      </c>
      <c r="G254" s="26">
        <v>301.96600000000001</v>
      </c>
      <c r="H254" s="4">
        <f t="shared" si="10"/>
        <v>1.4218009478672985E-2</v>
      </c>
    </row>
    <row r="255" spans="1:8" x14ac:dyDescent="0.25">
      <c r="A255" s="5" t="s">
        <v>261</v>
      </c>
      <c r="B255" s="1">
        <f t="shared" si="11"/>
        <v>39</v>
      </c>
      <c r="C255">
        <v>39</v>
      </c>
      <c r="D255" s="26">
        <v>301.096</v>
      </c>
      <c r="E255" s="4">
        <f t="shared" si="9"/>
        <v>0</v>
      </c>
      <c r="F255">
        <v>61</v>
      </c>
      <c r="G255" s="26">
        <v>301.02</v>
      </c>
      <c r="H255" s="4">
        <f t="shared" si="10"/>
        <v>0.55000000000000004</v>
      </c>
    </row>
    <row r="256" spans="1:8" x14ac:dyDescent="0.25">
      <c r="A256" s="3" t="s">
        <v>262</v>
      </c>
      <c r="B256" s="1">
        <f t="shared" si="11"/>
        <v>206</v>
      </c>
      <c r="C256">
        <v>206</v>
      </c>
      <c r="D256" s="26">
        <v>301.16199999999998</v>
      </c>
      <c r="E256" s="4">
        <f t="shared" si="9"/>
        <v>0</v>
      </c>
      <c r="F256">
        <v>225</v>
      </c>
      <c r="G256" s="26">
        <v>309.76299999999998</v>
      </c>
      <c r="H256" s="4">
        <f t="shared" si="10"/>
        <v>9.1787439613526575E-2</v>
      </c>
    </row>
    <row r="257" spans="1:8" x14ac:dyDescent="0.25">
      <c r="A257" s="5" t="s">
        <v>263</v>
      </c>
      <c r="B257" s="1">
        <f t="shared" si="11"/>
        <v>66</v>
      </c>
      <c r="C257">
        <v>66</v>
      </c>
      <c r="D257" s="26">
        <v>301.19200000000001</v>
      </c>
      <c r="E257" s="4">
        <f t="shared" si="9"/>
        <v>0</v>
      </c>
      <c r="F257">
        <v>71</v>
      </c>
      <c r="G257" s="26">
        <v>301.55900000000003</v>
      </c>
      <c r="H257" s="4">
        <f t="shared" si="10"/>
        <v>7.4626865671641784E-2</v>
      </c>
    </row>
    <row r="258" spans="1:8" x14ac:dyDescent="0.25">
      <c r="A258" s="3" t="s">
        <v>264</v>
      </c>
      <c r="B258" s="1">
        <f t="shared" si="11"/>
        <v>1445</v>
      </c>
      <c r="C258">
        <v>1445</v>
      </c>
      <c r="D258" s="26">
        <v>301.22699999999998</v>
      </c>
      <c r="E258" s="4">
        <f t="shared" si="9"/>
        <v>0</v>
      </c>
      <c r="F258">
        <v>1455</v>
      </c>
      <c r="G258" s="26">
        <v>301.798</v>
      </c>
      <c r="H258" s="4">
        <f t="shared" si="10"/>
        <v>6.9156293222683261E-3</v>
      </c>
    </row>
    <row r="259" spans="1:8" x14ac:dyDescent="0.25">
      <c r="A259" s="5" t="s">
        <v>265</v>
      </c>
      <c r="B259" s="1">
        <f t="shared" si="11"/>
        <v>2669</v>
      </c>
      <c r="C259">
        <v>2669</v>
      </c>
      <c r="D259" s="26">
        <v>301.01400000000001</v>
      </c>
      <c r="E259" s="4">
        <f t="shared" ref="E259:E322" si="12">(C259-$B259)/(1+$B259)</f>
        <v>0</v>
      </c>
      <c r="F259">
        <v>2707</v>
      </c>
      <c r="G259" s="26">
        <v>305.48099999999999</v>
      </c>
      <c r="H259" s="4">
        <f t="shared" ref="H259:H322" si="13">(F259-$B259)/(1+$B259)</f>
        <v>1.4232209737827715E-2</v>
      </c>
    </row>
    <row r="260" spans="1:8" x14ac:dyDescent="0.25">
      <c r="A260" s="3" t="s">
        <v>266</v>
      </c>
      <c r="B260" s="1">
        <f t="shared" ref="B260:B323" si="14">MIN(C260,F260)</f>
        <v>1479</v>
      </c>
      <c r="C260">
        <v>1502</v>
      </c>
      <c r="D260" s="26">
        <v>301.17500000000001</v>
      </c>
      <c r="E260" s="4">
        <f t="shared" si="12"/>
        <v>1.5540540540540541E-2</v>
      </c>
      <c r="F260">
        <v>1479</v>
      </c>
      <c r="G260" s="26">
        <v>301.589</v>
      </c>
      <c r="H260" s="4">
        <f t="shared" si="13"/>
        <v>0</v>
      </c>
    </row>
    <row r="261" spans="1:8" x14ac:dyDescent="0.25">
      <c r="A261" s="5" t="s">
        <v>267</v>
      </c>
      <c r="B261" s="1">
        <f t="shared" si="14"/>
        <v>4353</v>
      </c>
      <c r="C261">
        <v>4521</v>
      </c>
      <c r="D261" s="26">
        <v>301.03899999999999</v>
      </c>
      <c r="E261" s="4">
        <f t="shared" si="12"/>
        <v>3.8585209003215437E-2</v>
      </c>
      <c r="F261">
        <v>4353</v>
      </c>
      <c r="G261" s="26">
        <v>301.899</v>
      </c>
      <c r="H261" s="4">
        <f t="shared" si="13"/>
        <v>0</v>
      </c>
    </row>
    <row r="262" spans="1:8" x14ac:dyDescent="0.25">
      <c r="A262" s="3" t="s">
        <v>268</v>
      </c>
      <c r="B262" s="1">
        <f t="shared" si="14"/>
        <v>8338</v>
      </c>
      <c r="C262">
        <v>8391</v>
      </c>
      <c r="D262" s="26">
        <v>301.06</v>
      </c>
      <c r="E262" s="4">
        <f t="shared" si="12"/>
        <v>6.3556781388655718E-3</v>
      </c>
      <c r="F262">
        <v>8338</v>
      </c>
      <c r="G262" s="26">
        <v>301.346</v>
      </c>
      <c r="H262" s="4">
        <f t="shared" si="13"/>
        <v>0</v>
      </c>
    </row>
    <row r="263" spans="1:8" x14ac:dyDescent="0.25">
      <c r="A263" s="5" t="s">
        <v>269</v>
      </c>
      <c r="B263" s="1">
        <f t="shared" si="14"/>
        <v>4533</v>
      </c>
      <c r="C263">
        <v>4533</v>
      </c>
      <c r="D263" s="26">
        <v>301.024</v>
      </c>
      <c r="E263" s="4">
        <f t="shared" si="12"/>
        <v>0</v>
      </c>
      <c r="F263">
        <v>4595</v>
      </c>
      <c r="G263" s="26">
        <v>301.08499999999998</v>
      </c>
      <c r="H263" s="4">
        <f t="shared" si="13"/>
        <v>1.3674459638288486E-2</v>
      </c>
    </row>
    <row r="264" spans="1:8" x14ac:dyDescent="0.25">
      <c r="A264" s="3" t="s">
        <v>270</v>
      </c>
      <c r="B264" s="1">
        <f t="shared" si="14"/>
        <v>202</v>
      </c>
      <c r="C264">
        <v>202</v>
      </c>
      <c r="D264" s="26">
        <v>301.96100000000001</v>
      </c>
      <c r="E264" s="4">
        <f t="shared" si="12"/>
        <v>0</v>
      </c>
      <c r="F264">
        <v>241</v>
      </c>
      <c r="G264" s="26">
        <v>310.95400000000001</v>
      </c>
      <c r="H264" s="4">
        <f t="shared" si="13"/>
        <v>0.19211822660098521</v>
      </c>
    </row>
    <row r="265" spans="1:8" x14ac:dyDescent="0.25">
      <c r="A265" s="5" t="s">
        <v>271</v>
      </c>
      <c r="B265" s="1">
        <f t="shared" si="14"/>
        <v>565</v>
      </c>
      <c r="C265">
        <v>565</v>
      </c>
      <c r="D265" s="26">
        <v>301.125</v>
      </c>
      <c r="E265" s="4">
        <f t="shared" si="12"/>
        <v>0</v>
      </c>
      <c r="F265">
        <v>602</v>
      </c>
      <c r="G265" s="26">
        <v>320.791</v>
      </c>
      <c r="H265" s="4">
        <f t="shared" si="13"/>
        <v>6.5371024734982339E-2</v>
      </c>
    </row>
    <row r="266" spans="1:8" x14ac:dyDescent="0.25">
      <c r="A266" s="3" t="s">
        <v>272</v>
      </c>
      <c r="B266" s="1">
        <f t="shared" si="14"/>
        <v>147</v>
      </c>
      <c r="C266">
        <v>147</v>
      </c>
      <c r="D266" s="26">
        <v>301.08199999999999</v>
      </c>
      <c r="E266" s="4">
        <f t="shared" si="12"/>
        <v>0</v>
      </c>
      <c r="F266">
        <v>179</v>
      </c>
      <c r="G266" s="26">
        <v>315.52199999999999</v>
      </c>
      <c r="H266" s="4">
        <f t="shared" si="13"/>
        <v>0.21621621621621623</v>
      </c>
    </row>
    <row r="267" spans="1:8" x14ac:dyDescent="0.25">
      <c r="A267" s="5" t="s">
        <v>273</v>
      </c>
      <c r="B267" s="1">
        <f t="shared" si="14"/>
        <v>3397</v>
      </c>
      <c r="C267">
        <v>3397</v>
      </c>
      <c r="D267" s="26">
        <v>301.15699999999998</v>
      </c>
      <c r="E267" s="4">
        <f t="shared" si="12"/>
        <v>0</v>
      </c>
      <c r="F267">
        <v>3411</v>
      </c>
      <c r="G267" s="26">
        <v>307.60899999999998</v>
      </c>
      <c r="H267" s="4">
        <f t="shared" si="13"/>
        <v>4.1200706297822246E-3</v>
      </c>
    </row>
    <row r="268" spans="1:8" x14ac:dyDescent="0.25">
      <c r="A268" s="3" t="s">
        <v>274</v>
      </c>
      <c r="B268" s="1">
        <f t="shared" si="14"/>
        <v>6551</v>
      </c>
      <c r="C268">
        <v>6575</v>
      </c>
      <c r="D268" s="26">
        <v>301.60399999999998</v>
      </c>
      <c r="E268" s="4">
        <f t="shared" si="12"/>
        <v>3.663003663003663E-3</v>
      </c>
      <c r="F268">
        <v>6551</v>
      </c>
      <c r="G268" s="26">
        <v>301.04199999999997</v>
      </c>
      <c r="H268" s="4">
        <f t="shared" si="13"/>
        <v>0</v>
      </c>
    </row>
    <row r="269" spans="1:8" x14ac:dyDescent="0.25">
      <c r="A269" s="5" t="s">
        <v>275</v>
      </c>
      <c r="B269" s="1">
        <f t="shared" si="14"/>
        <v>3339</v>
      </c>
      <c r="C269">
        <v>3372</v>
      </c>
      <c r="D269" s="26">
        <v>301.40100000000001</v>
      </c>
      <c r="E269" s="4">
        <f t="shared" si="12"/>
        <v>9.8802395209580847E-3</v>
      </c>
      <c r="F269">
        <v>3339</v>
      </c>
      <c r="G269" s="26">
        <v>329.90100000000001</v>
      </c>
      <c r="H269" s="4">
        <f t="shared" si="13"/>
        <v>0</v>
      </c>
    </row>
    <row r="270" spans="1:8" x14ac:dyDescent="0.25">
      <c r="A270" s="3" t="s">
        <v>276</v>
      </c>
      <c r="B270" s="1">
        <f t="shared" si="14"/>
        <v>10878</v>
      </c>
      <c r="C270">
        <v>11044</v>
      </c>
      <c r="D270" s="26">
        <v>301.13799999999998</v>
      </c>
      <c r="E270" s="4">
        <f t="shared" si="12"/>
        <v>1.5258755400312528E-2</v>
      </c>
      <c r="F270">
        <v>10878</v>
      </c>
      <c r="G270" s="26">
        <v>307.17500000000001</v>
      </c>
      <c r="H270" s="4">
        <f t="shared" si="13"/>
        <v>0</v>
      </c>
    </row>
    <row r="271" spans="1:8" x14ac:dyDescent="0.25">
      <c r="A271" s="5" t="s">
        <v>277</v>
      </c>
      <c r="B271" s="1">
        <f t="shared" si="14"/>
        <v>18951</v>
      </c>
      <c r="C271">
        <v>18994</v>
      </c>
      <c r="D271" s="26">
        <v>302.64999999999998</v>
      </c>
      <c r="E271" s="4">
        <f t="shared" si="12"/>
        <v>2.2688898269311946E-3</v>
      </c>
      <c r="F271">
        <v>18951</v>
      </c>
      <c r="G271" s="26">
        <v>304.27300000000002</v>
      </c>
      <c r="H271" s="4">
        <f t="shared" si="13"/>
        <v>0</v>
      </c>
    </row>
    <row r="272" spans="1:8" x14ac:dyDescent="0.25">
      <c r="A272" s="3" t="s">
        <v>278</v>
      </c>
      <c r="B272" s="1">
        <f t="shared" si="14"/>
        <v>10620</v>
      </c>
      <c r="C272">
        <v>10715</v>
      </c>
      <c r="D272" s="26">
        <v>301.226</v>
      </c>
      <c r="E272" s="4">
        <f t="shared" si="12"/>
        <v>8.9445438282647581E-3</v>
      </c>
      <c r="F272">
        <v>10620</v>
      </c>
      <c r="G272" s="26">
        <v>323.66800000000001</v>
      </c>
      <c r="H272" s="4">
        <f t="shared" si="13"/>
        <v>0</v>
      </c>
    </row>
    <row r="273" spans="1:8" x14ac:dyDescent="0.25">
      <c r="A273" s="5" t="s">
        <v>279</v>
      </c>
      <c r="B273" s="1">
        <f t="shared" si="14"/>
        <v>633</v>
      </c>
      <c r="C273">
        <v>709</v>
      </c>
      <c r="D273" s="26">
        <v>302.25200000000001</v>
      </c>
      <c r="E273" s="4">
        <f t="shared" si="12"/>
        <v>0.11987381703470032</v>
      </c>
      <c r="F273">
        <v>633</v>
      </c>
      <c r="G273" s="26">
        <v>330.56599999999997</v>
      </c>
      <c r="H273" s="4">
        <f t="shared" si="13"/>
        <v>0</v>
      </c>
    </row>
    <row r="274" spans="1:8" x14ac:dyDescent="0.25">
      <c r="A274" s="3" t="s">
        <v>280</v>
      </c>
      <c r="B274" s="1">
        <f t="shared" si="14"/>
        <v>1368</v>
      </c>
      <c r="C274">
        <v>1423</v>
      </c>
      <c r="D274" s="26">
        <v>301.62900000000002</v>
      </c>
      <c r="E274" s="4">
        <f t="shared" si="12"/>
        <v>4.0175310445580717E-2</v>
      </c>
      <c r="F274">
        <v>1368</v>
      </c>
      <c r="G274" s="26">
        <v>303.91300000000001</v>
      </c>
      <c r="H274" s="4">
        <f t="shared" si="13"/>
        <v>0</v>
      </c>
    </row>
    <row r="275" spans="1:8" x14ac:dyDescent="0.25">
      <c r="A275" s="5" t="s">
        <v>281</v>
      </c>
      <c r="B275" s="1">
        <f t="shared" si="14"/>
        <v>582</v>
      </c>
      <c r="C275">
        <v>590</v>
      </c>
      <c r="D275" s="26">
        <v>301.03300000000002</v>
      </c>
      <c r="E275" s="4">
        <f t="shared" si="12"/>
        <v>1.3722126929674099E-2</v>
      </c>
      <c r="F275">
        <v>582</v>
      </c>
      <c r="G275" s="26">
        <v>358.07900000000001</v>
      </c>
      <c r="H275" s="4">
        <f t="shared" si="13"/>
        <v>0</v>
      </c>
    </row>
    <row r="276" spans="1:8" x14ac:dyDescent="0.25">
      <c r="A276" s="3" t="s">
        <v>282</v>
      </c>
      <c r="B276" s="1">
        <f t="shared" si="14"/>
        <v>6620</v>
      </c>
      <c r="C276">
        <v>6737</v>
      </c>
      <c r="D276" s="26">
        <v>301.08999999999997</v>
      </c>
      <c r="E276" s="4">
        <f t="shared" si="12"/>
        <v>1.7671046669687357E-2</v>
      </c>
      <c r="F276">
        <v>6620</v>
      </c>
      <c r="G276" s="26">
        <v>319.77699999999999</v>
      </c>
      <c r="H276" s="4">
        <f t="shared" si="13"/>
        <v>0</v>
      </c>
    </row>
    <row r="277" spans="1:8" x14ac:dyDescent="0.25">
      <c r="A277" s="5" t="s">
        <v>283</v>
      </c>
      <c r="B277" s="1">
        <f t="shared" si="14"/>
        <v>12382</v>
      </c>
      <c r="C277">
        <v>12583</v>
      </c>
      <c r="D277" s="26">
        <v>301.10199999999998</v>
      </c>
      <c r="E277" s="4">
        <f t="shared" si="12"/>
        <v>1.623193087297101E-2</v>
      </c>
      <c r="F277">
        <v>12382</v>
      </c>
      <c r="G277" s="26">
        <v>302.738</v>
      </c>
      <c r="H277" s="4">
        <f t="shared" si="13"/>
        <v>0</v>
      </c>
    </row>
    <row r="278" spans="1:8" x14ac:dyDescent="0.25">
      <c r="A278" s="3" t="s">
        <v>284</v>
      </c>
      <c r="B278" s="1">
        <f t="shared" si="14"/>
        <v>7369</v>
      </c>
      <c r="C278">
        <v>7471</v>
      </c>
      <c r="D278" s="26">
        <v>301.65800000000002</v>
      </c>
      <c r="E278" s="4">
        <f t="shared" si="12"/>
        <v>1.3839891451831751E-2</v>
      </c>
      <c r="F278">
        <v>7369</v>
      </c>
      <c r="G278" s="26">
        <v>301.387</v>
      </c>
      <c r="H278" s="4">
        <f t="shared" si="13"/>
        <v>0</v>
      </c>
    </row>
    <row r="279" spans="1:8" x14ac:dyDescent="0.25">
      <c r="A279" s="5" t="s">
        <v>285</v>
      </c>
      <c r="B279" s="1">
        <f t="shared" si="14"/>
        <v>21789</v>
      </c>
      <c r="C279">
        <v>21789</v>
      </c>
      <c r="D279" s="26">
        <v>301.14400000000001</v>
      </c>
      <c r="E279" s="4">
        <f t="shared" si="12"/>
        <v>0</v>
      </c>
      <c r="F279">
        <v>22001</v>
      </c>
      <c r="G279" s="26">
        <v>329.05200000000002</v>
      </c>
      <c r="H279" s="4">
        <f t="shared" si="13"/>
        <v>9.7292335933914648E-3</v>
      </c>
    </row>
    <row r="280" spans="1:8" x14ac:dyDescent="0.25">
      <c r="A280" s="3" t="s">
        <v>286</v>
      </c>
      <c r="B280" s="1">
        <f t="shared" si="14"/>
        <v>37201</v>
      </c>
      <c r="C280">
        <v>37300</v>
      </c>
      <c r="D280" s="26">
        <v>301.005</v>
      </c>
      <c r="E280" s="4">
        <f t="shared" si="12"/>
        <v>2.6611472501478417E-3</v>
      </c>
      <c r="F280">
        <v>37201</v>
      </c>
      <c r="G280" s="26">
        <v>301.209</v>
      </c>
      <c r="H280" s="4">
        <f t="shared" si="13"/>
        <v>0</v>
      </c>
    </row>
    <row r="281" spans="1:8" x14ac:dyDescent="0.25">
      <c r="A281" s="5" t="s">
        <v>287</v>
      </c>
      <c r="B281" s="1">
        <f t="shared" si="14"/>
        <v>20681</v>
      </c>
      <c r="C281">
        <v>20681</v>
      </c>
      <c r="D281" s="26">
        <v>301.44200000000001</v>
      </c>
      <c r="E281" s="4">
        <f t="shared" si="12"/>
        <v>0</v>
      </c>
      <c r="F281">
        <v>20977</v>
      </c>
      <c r="G281" s="26">
        <v>305.29300000000001</v>
      </c>
      <c r="H281" s="4">
        <f t="shared" si="13"/>
        <v>1.4311962092640945E-2</v>
      </c>
    </row>
    <row r="282" spans="1:8" x14ac:dyDescent="0.25">
      <c r="A282" s="3" t="s">
        <v>288</v>
      </c>
      <c r="B282" s="1">
        <f t="shared" si="14"/>
        <v>1140</v>
      </c>
      <c r="C282">
        <v>1140</v>
      </c>
      <c r="D282" s="26">
        <v>304.702</v>
      </c>
      <c r="E282" s="4">
        <f t="shared" si="12"/>
        <v>0</v>
      </c>
      <c r="F282">
        <v>1159</v>
      </c>
      <c r="G282" s="26">
        <v>301.05399999999997</v>
      </c>
      <c r="H282" s="4">
        <f t="shared" si="13"/>
        <v>1.6652059596844872E-2</v>
      </c>
    </row>
    <row r="283" spans="1:8" x14ac:dyDescent="0.25">
      <c r="A283" s="5" t="s">
        <v>289</v>
      </c>
      <c r="B283" s="1">
        <f t="shared" si="14"/>
        <v>2505</v>
      </c>
      <c r="C283">
        <v>2596</v>
      </c>
      <c r="D283" s="26">
        <v>301.28300000000002</v>
      </c>
      <c r="E283" s="4">
        <f t="shared" si="12"/>
        <v>3.6312849162011177E-2</v>
      </c>
      <c r="F283">
        <v>2505</v>
      </c>
      <c r="G283" s="26">
        <v>383.75900000000001</v>
      </c>
      <c r="H283" s="4">
        <f t="shared" si="13"/>
        <v>0</v>
      </c>
    </row>
    <row r="284" spans="1:8" x14ac:dyDescent="0.25">
      <c r="A284" s="3" t="s">
        <v>290</v>
      </c>
      <c r="B284" s="1">
        <f t="shared" si="14"/>
        <v>1175</v>
      </c>
      <c r="C284">
        <v>1175</v>
      </c>
      <c r="D284" s="26">
        <v>301.185</v>
      </c>
      <c r="E284" s="4">
        <f t="shared" si="12"/>
        <v>0</v>
      </c>
      <c r="F284">
        <v>1237</v>
      </c>
      <c r="G284" s="26">
        <v>349.05099999999999</v>
      </c>
      <c r="H284" s="4">
        <f t="shared" si="13"/>
        <v>5.2721088435374153E-2</v>
      </c>
    </row>
    <row r="285" spans="1:8" x14ac:dyDescent="0.25">
      <c r="A285" s="5" t="s">
        <v>291</v>
      </c>
      <c r="B285" s="1">
        <f t="shared" si="14"/>
        <v>12299</v>
      </c>
      <c r="C285">
        <v>12804</v>
      </c>
      <c r="D285" s="26">
        <v>309.34100000000001</v>
      </c>
      <c r="E285" s="4">
        <f t="shared" si="12"/>
        <v>4.1056910569105688E-2</v>
      </c>
      <c r="F285">
        <v>12299</v>
      </c>
      <c r="G285" s="26">
        <v>311.81900000000002</v>
      </c>
      <c r="H285" s="4">
        <f t="shared" si="13"/>
        <v>0</v>
      </c>
    </row>
    <row r="286" spans="1:8" x14ac:dyDescent="0.25">
      <c r="A286" s="3" t="s">
        <v>292</v>
      </c>
      <c r="B286" s="1">
        <f t="shared" si="14"/>
        <v>22130</v>
      </c>
      <c r="C286">
        <v>22130</v>
      </c>
      <c r="D286" s="26">
        <v>301.05799999999999</v>
      </c>
      <c r="E286" s="4">
        <f t="shared" si="12"/>
        <v>0</v>
      </c>
      <c r="F286">
        <v>22323</v>
      </c>
      <c r="G286" s="26">
        <v>301.13900000000001</v>
      </c>
      <c r="H286" s="4">
        <f t="shared" si="13"/>
        <v>8.7207988793999366E-3</v>
      </c>
    </row>
    <row r="287" spans="1:8" x14ac:dyDescent="0.25">
      <c r="A287" s="5" t="s">
        <v>293</v>
      </c>
      <c r="B287" s="1">
        <f t="shared" si="14"/>
        <v>12171</v>
      </c>
      <c r="C287">
        <v>12503</v>
      </c>
      <c r="D287" s="26">
        <v>301.59199999999998</v>
      </c>
      <c r="E287" s="4">
        <f t="shared" si="12"/>
        <v>2.7275714755175814E-2</v>
      </c>
      <c r="F287">
        <v>12171</v>
      </c>
      <c r="G287" s="26">
        <v>368.14499999999998</v>
      </c>
      <c r="H287" s="4">
        <f t="shared" si="13"/>
        <v>0</v>
      </c>
    </row>
    <row r="288" spans="1:8" x14ac:dyDescent="0.25">
      <c r="A288" s="3" t="s">
        <v>294</v>
      </c>
      <c r="B288" s="1">
        <f t="shared" si="14"/>
        <v>37257</v>
      </c>
      <c r="C288">
        <v>37257</v>
      </c>
      <c r="D288" s="26">
        <v>301.27999999999997</v>
      </c>
      <c r="E288" s="4">
        <f t="shared" si="12"/>
        <v>0</v>
      </c>
      <c r="F288">
        <v>37307</v>
      </c>
      <c r="G288" s="26">
        <v>332.596</v>
      </c>
      <c r="H288" s="4">
        <f t="shared" si="13"/>
        <v>1.3419936657898975E-3</v>
      </c>
    </row>
    <row r="289" spans="1:8" x14ac:dyDescent="0.25">
      <c r="A289" s="5" t="s">
        <v>295</v>
      </c>
      <c r="B289" s="1">
        <f t="shared" si="14"/>
        <v>63130</v>
      </c>
      <c r="C289">
        <v>63431</v>
      </c>
      <c r="D289" s="26">
        <v>301.71699999999998</v>
      </c>
      <c r="E289" s="4">
        <f t="shared" si="12"/>
        <v>4.7678636486036974E-3</v>
      </c>
      <c r="F289">
        <v>63130</v>
      </c>
      <c r="G289" s="26">
        <v>301.72899999999998</v>
      </c>
      <c r="H289" s="4">
        <f t="shared" si="13"/>
        <v>0</v>
      </c>
    </row>
    <row r="290" spans="1:8" x14ac:dyDescent="0.25">
      <c r="A290" s="3" t="s">
        <v>296</v>
      </c>
      <c r="B290" s="1">
        <f t="shared" si="14"/>
        <v>35839</v>
      </c>
      <c r="C290">
        <v>36158</v>
      </c>
      <c r="D290" s="26">
        <v>301.22899999999998</v>
      </c>
      <c r="E290" s="4">
        <f t="shared" si="12"/>
        <v>8.9006696428571425E-3</v>
      </c>
      <c r="F290">
        <v>35839</v>
      </c>
      <c r="G290" s="26">
        <v>302.673</v>
      </c>
      <c r="H290" s="4">
        <f t="shared" si="13"/>
        <v>0</v>
      </c>
    </row>
    <row r="291" spans="1:8" x14ac:dyDescent="0.25">
      <c r="A291" s="5" t="s">
        <v>297</v>
      </c>
      <c r="B291" s="1">
        <f t="shared" si="14"/>
        <v>2094</v>
      </c>
      <c r="C291">
        <v>2280</v>
      </c>
      <c r="D291" s="26">
        <v>301.286</v>
      </c>
      <c r="E291" s="4">
        <f t="shared" si="12"/>
        <v>8.8782816229116948E-2</v>
      </c>
      <c r="F291">
        <v>2094</v>
      </c>
      <c r="G291" s="26">
        <v>390.709</v>
      </c>
      <c r="H291" s="4">
        <f t="shared" si="13"/>
        <v>0</v>
      </c>
    </row>
    <row r="292" spans="1:8" x14ac:dyDescent="0.25">
      <c r="A292" s="3" t="s">
        <v>298</v>
      </c>
      <c r="B292" s="1">
        <f t="shared" si="14"/>
        <v>4059</v>
      </c>
      <c r="C292">
        <v>4157</v>
      </c>
      <c r="D292" s="26">
        <v>306.553</v>
      </c>
      <c r="E292" s="4">
        <f t="shared" si="12"/>
        <v>2.4137931034482758E-2</v>
      </c>
      <c r="F292">
        <v>4059</v>
      </c>
      <c r="G292" s="26">
        <v>332.12900000000002</v>
      </c>
      <c r="H292" s="4">
        <f t="shared" si="13"/>
        <v>0</v>
      </c>
    </row>
    <row r="293" spans="1:8" x14ac:dyDescent="0.25">
      <c r="A293" s="5" t="s">
        <v>299</v>
      </c>
      <c r="B293" s="1">
        <f t="shared" si="14"/>
        <v>2025</v>
      </c>
      <c r="C293">
        <v>2092</v>
      </c>
      <c r="D293" s="26">
        <v>304.01600000000002</v>
      </c>
      <c r="E293" s="4">
        <f t="shared" si="12"/>
        <v>3.3070088845014806E-2</v>
      </c>
      <c r="F293">
        <v>2025</v>
      </c>
      <c r="G293" s="26">
        <v>328.75099999999998</v>
      </c>
      <c r="H293" s="4">
        <f t="shared" si="13"/>
        <v>0</v>
      </c>
    </row>
    <row r="294" spans="1:8" x14ac:dyDescent="0.25">
      <c r="A294" s="3" t="s">
        <v>300</v>
      </c>
      <c r="B294" s="1">
        <f t="shared" si="14"/>
        <v>19916</v>
      </c>
      <c r="C294">
        <v>20238</v>
      </c>
      <c r="D294" s="26">
        <v>303.38799999999998</v>
      </c>
      <c r="E294" s="4">
        <f t="shared" si="12"/>
        <v>1.6167093437766733E-2</v>
      </c>
      <c r="F294">
        <v>19916</v>
      </c>
      <c r="G294" s="26">
        <v>302.59399999999999</v>
      </c>
      <c r="H294" s="4">
        <f t="shared" si="13"/>
        <v>0</v>
      </c>
    </row>
    <row r="295" spans="1:8" x14ac:dyDescent="0.25">
      <c r="A295" s="5" t="s">
        <v>301</v>
      </c>
      <c r="B295" s="1">
        <f t="shared" si="14"/>
        <v>35582</v>
      </c>
      <c r="C295">
        <v>36449</v>
      </c>
      <c r="D295" s="26">
        <v>303.67500000000001</v>
      </c>
      <c r="E295" s="4">
        <f t="shared" si="12"/>
        <v>2.4365567827333276E-2</v>
      </c>
      <c r="F295">
        <v>35582</v>
      </c>
      <c r="G295" s="26">
        <v>376.76299999999998</v>
      </c>
      <c r="H295" s="4">
        <f t="shared" si="13"/>
        <v>0</v>
      </c>
    </row>
    <row r="296" spans="1:8" x14ac:dyDescent="0.25">
      <c r="A296" s="3" t="s">
        <v>302</v>
      </c>
      <c r="B296" s="1">
        <f t="shared" si="14"/>
        <v>19876</v>
      </c>
      <c r="C296">
        <v>20065</v>
      </c>
      <c r="D296" s="26">
        <v>301.09100000000001</v>
      </c>
      <c r="E296" s="4">
        <f t="shared" si="12"/>
        <v>9.5084771343764158E-3</v>
      </c>
      <c r="F296">
        <v>19876</v>
      </c>
      <c r="G296" s="26">
        <v>324.61</v>
      </c>
      <c r="H296" s="4">
        <f t="shared" si="13"/>
        <v>0</v>
      </c>
    </row>
    <row r="297" spans="1:8" x14ac:dyDescent="0.25">
      <c r="A297" s="5" t="s">
        <v>303</v>
      </c>
      <c r="B297" s="1">
        <f t="shared" si="14"/>
        <v>56960</v>
      </c>
      <c r="C297">
        <v>58022</v>
      </c>
      <c r="D297" s="26">
        <v>303.12099999999998</v>
      </c>
      <c r="E297" s="4">
        <f t="shared" si="12"/>
        <v>1.8644335598040764E-2</v>
      </c>
      <c r="F297">
        <v>56960</v>
      </c>
      <c r="G297" s="26">
        <v>558.12199999999996</v>
      </c>
      <c r="H297" s="4">
        <f t="shared" si="13"/>
        <v>0</v>
      </c>
    </row>
    <row r="298" spans="1:8" x14ac:dyDescent="0.25">
      <c r="A298" s="3" t="s">
        <v>304</v>
      </c>
      <c r="B298" s="1">
        <f t="shared" si="14"/>
        <v>99538</v>
      </c>
      <c r="C298">
        <v>99538</v>
      </c>
      <c r="D298" s="26">
        <v>301.25299999999999</v>
      </c>
      <c r="E298" s="4">
        <f t="shared" si="12"/>
        <v>0</v>
      </c>
      <c r="F298">
        <v>100205</v>
      </c>
      <c r="G298" s="26">
        <v>311.28699999999998</v>
      </c>
      <c r="H298" s="4">
        <f t="shared" si="13"/>
        <v>6.7008911080079165E-3</v>
      </c>
    </row>
    <row r="299" spans="1:8" x14ac:dyDescent="0.25">
      <c r="A299" s="5" t="s">
        <v>305</v>
      </c>
      <c r="B299" s="1">
        <f t="shared" si="14"/>
        <v>58244</v>
      </c>
      <c r="C299">
        <v>58244</v>
      </c>
      <c r="D299" s="26">
        <v>301.755</v>
      </c>
      <c r="E299" s="4">
        <f t="shared" si="12"/>
        <v>0</v>
      </c>
      <c r="F299">
        <v>58300</v>
      </c>
      <c r="G299" s="26">
        <v>324.97199999999998</v>
      </c>
      <c r="H299" s="4">
        <f t="shared" si="13"/>
        <v>9.6145591896300113E-4</v>
      </c>
    </row>
    <row r="300" spans="1:8" x14ac:dyDescent="0.25">
      <c r="A300" s="3" t="s">
        <v>306</v>
      </c>
      <c r="B300" s="1">
        <f t="shared" si="14"/>
        <v>3171</v>
      </c>
      <c r="C300">
        <v>3308</v>
      </c>
      <c r="D300" s="26">
        <v>303.10899999999998</v>
      </c>
      <c r="E300" s="4">
        <f t="shared" si="12"/>
        <v>4.319041614123581E-2</v>
      </c>
      <c r="F300">
        <v>3171</v>
      </c>
      <c r="G300" s="26">
        <v>302.97300000000001</v>
      </c>
      <c r="H300" s="4">
        <f t="shared" si="13"/>
        <v>0</v>
      </c>
    </row>
    <row r="301" spans="1:8" x14ac:dyDescent="0.25">
      <c r="A301" s="5" t="s">
        <v>307</v>
      </c>
      <c r="B301" s="1">
        <f t="shared" si="14"/>
        <v>6370</v>
      </c>
      <c r="C301">
        <v>6370</v>
      </c>
      <c r="D301" s="26">
        <v>322.315</v>
      </c>
      <c r="E301" s="4">
        <f t="shared" si="12"/>
        <v>0</v>
      </c>
      <c r="F301">
        <v>6418</v>
      </c>
      <c r="G301" s="26">
        <v>397.82900000000001</v>
      </c>
      <c r="H301" s="4">
        <f t="shared" si="13"/>
        <v>7.5341390676502903E-3</v>
      </c>
    </row>
    <row r="302" spans="1:8" x14ac:dyDescent="0.25">
      <c r="A302" s="3" t="s">
        <v>308</v>
      </c>
      <c r="B302" s="1">
        <f t="shared" si="14"/>
        <v>2983</v>
      </c>
      <c r="C302">
        <v>2983</v>
      </c>
      <c r="D302" s="26">
        <v>302.24099999999999</v>
      </c>
      <c r="E302" s="4">
        <f t="shared" si="12"/>
        <v>0</v>
      </c>
      <c r="F302">
        <v>2989</v>
      </c>
      <c r="G302" s="26">
        <v>301.221</v>
      </c>
      <c r="H302" s="4">
        <f t="shared" si="13"/>
        <v>2.0107238605898124E-3</v>
      </c>
    </row>
    <row r="303" spans="1:8" x14ac:dyDescent="0.25">
      <c r="A303" s="5" t="s">
        <v>309</v>
      </c>
      <c r="B303" s="1">
        <f t="shared" si="14"/>
        <v>29342</v>
      </c>
      <c r="C303">
        <v>29562</v>
      </c>
      <c r="D303" s="26">
        <v>301.01799999999997</v>
      </c>
      <c r="E303" s="4">
        <f t="shared" si="12"/>
        <v>7.4975292233241319E-3</v>
      </c>
      <c r="F303">
        <v>29342</v>
      </c>
      <c r="G303" s="26">
        <v>424.22</v>
      </c>
      <c r="H303" s="4">
        <f t="shared" si="13"/>
        <v>0</v>
      </c>
    </row>
    <row r="304" spans="1:8" x14ac:dyDescent="0.25">
      <c r="A304" s="3" t="s">
        <v>310</v>
      </c>
      <c r="B304" s="1">
        <f t="shared" si="14"/>
        <v>53585</v>
      </c>
      <c r="C304">
        <v>53591</v>
      </c>
      <c r="D304" s="26">
        <v>302.178</v>
      </c>
      <c r="E304" s="4">
        <f t="shared" si="12"/>
        <v>1.1196954428395476E-4</v>
      </c>
      <c r="F304">
        <v>53585</v>
      </c>
      <c r="G304" s="26">
        <v>301.25200000000001</v>
      </c>
      <c r="H304" s="4">
        <f t="shared" si="13"/>
        <v>0</v>
      </c>
    </row>
    <row r="305" spans="1:8" x14ac:dyDescent="0.25">
      <c r="A305" s="5" t="s">
        <v>311</v>
      </c>
      <c r="B305" s="1">
        <f t="shared" si="14"/>
        <v>29084</v>
      </c>
      <c r="C305">
        <v>29281</v>
      </c>
      <c r="D305" s="26">
        <v>301.13600000000002</v>
      </c>
      <c r="E305" s="4">
        <f t="shared" si="12"/>
        <v>6.7732508165721161E-3</v>
      </c>
      <c r="F305">
        <v>29084</v>
      </c>
      <c r="G305" s="26">
        <v>387.75</v>
      </c>
      <c r="H305" s="4">
        <f t="shared" si="13"/>
        <v>0</v>
      </c>
    </row>
    <row r="306" spans="1:8" x14ac:dyDescent="0.25">
      <c r="A306" s="3" t="s">
        <v>312</v>
      </c>
      <c r="B306" s="1">
        <f t="shared" si="14"/>
        <v>87468</v>
      </c>
      <c r="C306">
        <v>90156</v>
      </c>
      <c r="D306" s="26">
        <v>301.50599999999997</v>
      </c>
      <c r="E306" s="4">
        <f t="shared" si="12"/>
        <v>3.0730887514433685E-2</v>
      </c>
      <c r="F306">
        <v>87468</v>
      </c>
      <c r="G306" s="26">
        <v>322.988</v>
      </c>
      <c r="H306" s="4">
        <f t="shared" si="13"/>
        <v>0</v>
      </c>
    </row>
    <row r="307" spans="1:8" x14ac:dyDescent="0.25">
      <c r="A307" s="5" t="s">
        <v>313</v>
      </c>
      <c r="B307" s="1">
        <f t="shared" si="14"/>
        <v>148390</v>
      </c>
      <c r="C307">
        <v>148390</v>
      </c>
      <c r="D307" s="26">
        <v>302.24099999999999</v>
      </c>
      <c r="E307" s="4">
        <f t="shared" si="12"/>
        <v>0</v>
      </c>
      <c r="F307">
        <v>149752</v>
      </c>
      <c r="G307" s="26">
        <v>429.214</v>
      </c>
      <c r="H307" s="4">
        <f t="shared" si="13"/>
        <v>9.1784542189216334E-3</v>
      </c>
    </row>
    <row r="308" spans="1:8" x14ac:dyDescent="0.25">
      <c r="A308" s="3" t="s">
        <v>314</v>
      </c>
      <c r="B308" s="1">
        <f t="shared" si="14"/>
        <v>89085</v>
      </c>
      <c r="C308">
        <v>89414</v>
      </c>
      <c r="D308" s="26">
        <v>301.48899999999998</v>
      </c>
      <c r="E308" s="4">
        <f t="shared" si="12"/>
        <v>3.693060638035157E-3</v>
      </c>
      <c r="F308">
        <v>89085</v>
      </c>
      <c r="G308" s="26">
        <v>301.14</v>
      </c>
      <c r="H308" s="4">
        <f t="shared" si="13"/>
        <v>0</v>
      </c>
    </row>
    <row r="309" spans="1:8" x14ac:dyDescent="0.25">
      <c r="A309" s="5" t="s">
        <v>315</v>
      </c>
      <c r="B309" s="1">
        <f t="shared" si="14"/>
        <v>4944</v>
      </c>
      <c r="C309">
        <v>5332</v>
      </c>
      <c r="D309" s="26">
        <v>303.404</v>
      </c>
      <c r="E309" s="4">
        <f t="shared" si="12"/>
        <v>7.8463094034378164E-2</v>
      </c>
      <c r="F309">
        <v>4944</v>
      </c>
      <c r="G309" s="26">
        <v>316.41000000000003</v>
      </c>
      <c r="H309" s="4">
        <f t="shared" si="13"/>
        <v>0</v>
      </c>
    </row>
    <row r="310" spans="1:8" x14ac:dyDescent="0.25">
      <c r="A310" s="3" t="s">
        <v>316</v>
      </c>
      <c r="B310" s="1">
        <f t="shared" si="14"/>
        <v>9327</v>
      </c>
      <c r="C310">
        <v>9327</v>
      </c>
      <c r="D310" s="26">
        <v>301.25</v>
      </c>
      <c r="E310" s="4">
        <f t="shared" si="12"/>
        <v>0</v>
      </c>
      <c r="F310">
        <v>9549</v>
      </c>
      <c r="G310" s="26">
        <v>325.54000000000002</v>
      </c>
      <c r="H310" s="4">
        <f t="shared" si="13"/>
        <v>2.3799313893653515E-2</v>
      </c>
    </row>
    <row r="311" spans="1:8" x14ac:dyDescent="0.25">
      <c r="A311" s="5" t="s">
        <v>317</v>
      </c>
      <c r="B311" s="1">
        <f t="shared" si="14"/>
        <v>4942</v>
      </c>
      <c r="C311">
        <v>5397</v>
      </c>
      <c r="D311" s="26">
        <v>310.18599999999998</v>
      </c>
      <c r="E311" s="4">
        <f t="shared" si="12"/>
        <v>9.2049362735181064E-2</v>
      </c>
      <c r="F311">
        <v>4942</v>
      </c>
      <c r="G311" s="26">
        <v>304.55200000000002</v>
      </c>
      <c r="H311" s="4">
        <f t="shared" si="13"/>
        <v>0</v>
      </c>
    </row>
    <row r="312" spans="1:8" x14ac:dyDescent="0.25">
      <c r="A312" s="3" t="s">
        <v>318</v>
      </c>
      <c r="B312" s="1">
        <f t="shared" si="14"/>
        <v>45024</v>
      </c>
      <c r="C312">
        <v>45491</v>
      </c>
      <c r="D312" s="26">
        <v>301.28199999999998</v>
      </c>
      <c r="E312" s="4">
        <f t="shared" si="12"/>
        <v>1.0372015546918379E-2</v>
      </c>
      <c r="F312">
        <v>45024</v>
      </c>
      <c r="G312" s="26">
        <v>495.233</v>
      </c>
      <c r="H312" s="4">
        <f t="shared" si="13"/>
        <v>0</v>
      </c>
    </row>
    <row r="313" spans="1:8" x14ac:dyDescent="0.25">
      <c r="A313" s="5" t="s">
        <v>319</v>
      </c>
      <c r="B313" s="1">
        <f t="shared" si="14"/>
        <v>76881</v>
      </c>
      <c r="C313">
        <v>77031</v>
      </c>
      <c r="D313" s="26">
        <v>305.17200000000003</v>
      </c>
      <c r="E313" s="4">
        <f t="shared" si="12"/>
        <v>1.9510418563512917E-3</v>
      </c>
      <c r="F313">
        <v>76881</v>
      </c>
      <c r="G313" s="26">
        <v>411.77199999999999</v>
      </c>
      <c r="H313" s="4">
        <f t="shared" si="13"/>
        <v>0</v>
      </c>
    </row>
    <row r="314" spans="1:8" x14ac:dyDescent="0.25">
      <c r="A314" s="3" t="s">
        <v>320</v>
      </c>
      <c r="B314" s="1">
        <f t="shared" si="14"/>
        <v>44348</v>
      </c>
      <c r="C314">
        <v>44897</v>
      </c>
      <c r="D314" s="26">
        <v>301.01900000000001</v>
      </c>
      <c r="E314" s="4">
        <f t="shared" si="12"/>
        <v>1.2379084083068389E-2</v>
      </c>
      <c r="F314">
        <v>44348</v>
      </c>
      <c r="G314" s="26">
        <v>360.642</v>
      </c>
      <c r="H314" s="4">
        <f t="shared" si="13"/>
        <v>0</v>
      </c>
    </row>
    <row r="315" spans="1:8" x14ac:dyDescent="0.25">
      <c r="A315" s="5" t="s">
        <v>321</v>
      </c>
      <c r="B315" s="1">
        <f t="shared" si="14"/>
        <v>124665</v>
      </c>
      <c r="C315">
        <v>124665</v>
      </c>
      <c r="D315" s="26">
        <v>301.70699999999999</v>
      </c>
      <c r="E315" s="4">
        <f t="shared" si="12"/>
        <v>0</v>
      </c>
      <c r="F315">
        <v>125355</v>
      </c>
      <c r="G315" s="26">
        <v>317.702</v>
      </c>
      <c r="H315" s="4">
        <f t="shared" si="13"/>
        <v>5.5347889560906742E-3</v>
      </c>
    </row>
    <row r="316" spans="1:8" x14ac:dyDescent="0.25">
      <c r="A316" s="3" t="s">
        <v>322</v>
      </c>
      <c r="B316" s="1">
        <f t="shared" si="14"/>
        <v>210956</v>
      </c>
      <c r="C316">
        <v>210956</v>
      </c>
      <c r="D316" s="26">
        <v>302.60700000000003</v>
      </c>
      <c r="E316" s="4">
        <f t="shared" si="12"/>
        <v>0</v>
      </c>
      <c r="F316">
        <v>212582</v>
      </c>
      <c r="G316" s="26">
        <v>307.95600000000002</v>
      </c>
      <c r="H316" s="4">
        <f t="shared" si="13"/>
        <v>7.7077319074503334E-3</v>
      </c>
    </row>
    <row r="317" spans="1:8" x14ac:dyDescent="0.25">
      <c r="A317" s="5" t="s">
        <v>323</v>
      </c>
      <c r="B317" s="1">
        <f t="shared" si="14"/>
        <v>124920</v>
      </c>
      <c r="C317">
        <v>124920</v>
      </c>
      <c r="D317" s="26">
        <v>301.05500000000001</v>
      </c>
      <c r="E317" s="4">
        <f t="shared" si="12"/>
        <v>0</v>
      </c>
      <c r="F317">
        <v>127227</v>
      </c>
      <c r="G317" s="26">
        <v>333.32900000000001</v>
      </c>
      <c r="H317" s="4">
        <f t="shared" si="13"/>
        <v>1.8467671568431248E-2</v>
      </c>
    </row>
    <row r="318" spans="1:8" x14ac:dyDescent="0.25">
      <c r="A318" s="3" t="s">
        <v>324</v>
      </c>
      <c r="B318" s="1">
        <f t="shared" si="14"/>
        <v>7543</v>
      </c>
      <c r="C318">
        <v>7589</v>
      </c>
      <c r="D318" s="26">
        <v>301.66899999999998</v>
      </c>
      <c r="E318" s="4">
        <f t="shared" si="12"/>
        <v>6.0975609756097563E-3</v>
      </c>
      <c r="F318">
        <v>7543</v>
      </c>
      <c r="G318" s="26">
        <v>301.36599999999999</v>
      </c>
      <c r="H318" s="4">
        <f t="shared" si="13"/>
        <v>0</v>
      </c>
    </row>
    <row r="319" spans="1:8" x14ac:dyDescent="0.25">
      <c r="A319" s="5" t="s">
        <v>325</v>
      </c>
      <c r="B319" s="1">
        <f t="shared" si="14"/>
        <v>13550</v>
      </c>
      <c r="C319">
        <v>13563</v>
      </c>
      <c r="D319" s="26">
        <v>306.01799999999997</v>
      </c>
      <c r="E319" s="4">
        <f t="shared" si="12"/>
        <v>9.5933879418493104E-4</v>
      </c>
      <c r="F319">
        <v>13550</v>
      </c>
      <c r="G319" s="26">
        <v>444.94900000000001</v>
      </c>
      <c r="H319" s="4">
        <f t="shared" si="13"/>
        <v>0</v>
      </c>
    </row>
    <row r="320" spans="1:8" x14ac:dyDescent="0.25">
      <c r="A320" s="3" t="s">
        <v>326</v>
      </c>
      <c r="B320" s="1">
        <f t="shared" si="14"/>
        <v>6603</v>
      </c>
      <c r="C320">
        <v>6864</v>
      </c>
      <c r="D320" s="26">
        <v>301.459</v>
      </c>
      <c r="E320" s="4">
        <f t="shared" si="12"/>
        <v>3.9521502119927318E-2</v>
      </c>
      <c r="F320">
        <v>6603</v>
      </c>
      <c r="G320" s="26">
        <v>309.64100000000002</v>
      </c>
      <c r="H320" s="4">
        <f t="shared" si="13"/>
        <v>0</v>
      </c>
    </row>
    <row r="321" spans="1:8" x14ac:dyDescent="0.25">
      <c r="A321" s="5" t="s">
        <v>327</v>
      </c>
      <c r="B321" s="1">
        <f t="shared" si="14"/>
        <v>61603</v>
      </c>
      <c r="C321">
        <v>61603</v>
      </c>
      <c r="D321" s="26">
        <v>301.83100000000002</v>
      </c>
      <c r="E321" s="4">
        <f t="shared" si="12"/>
        <v>0</v>
      </c>
      <c r="F321">
        <v>62414</v>
      </c>
      <c r="G321" s="26">
        <v>311.91300000000001</v>
      </c>
      <c r="H321" s="4">
        <f t="shared" si="13"/>
        <v>1.3164729563015388E-2</v>
      </c>
    </row>
    <row r="322" spans="1:8" x14ac:dyDescent="0.25">
      <c r="A322" s="3" t="s">
        <v>328</v>
      </c>
      <c r="B322" s="1">
        <f t="shared" si="14"/>
        <v>104390</v>
      </c>
      <c r="C322">
        <v>108153</v>
      </c>
      <c r="D322" s="26">
        <v>301.49</v>
      </c>
      <c r="E322" s="4">
        <f t="shared" si="12"/>
        <v>3.6047168817235201E-2</v>
      </c>
      <c r="F322">
        <v>104390</v>
      </c>
      <c r="G322" s="26">
        <v>469.43400000000003</v>
      </c>
      <c r="H322" s="4">
        <f t="shared" si="13"/>
        <v>0</v>
      </c>
    </row>
    <row r="323" spans="1:8" x14ac:dyDescent="0.25">
      <c r="A323" s="5" t="s">
        <v>329</v>
      </c>
      <c r="B323" s="1">
        <f t="shared" si="14"/>
        <v>63759</v>
      </c>
      <c r="C323">
        <v>64568</v>
      </c>
      <c r="D323" s="26">
        <v>302.02600000000001</v>
      </c>
      <c r="E323" s="4">
        <f t="shared" ref="E323:E344" si="15">(C323-$B323)/(1+$B323)</f>
        <v>1.2688205771643663E-2</v>
      </c>
      <c r="F323">
        <v>63759</v>
      </c>
      <c r="G323" s="26">
        <v>434.22800000000001</v>
      </c>
      <c r="H323" s="4">
        <f t="shared" ref="H323:H344" si="16">(F323-$B323)/(1+$B323)</f>
        <v>0</v>
      </c>
    </row>
    <row r="324" spans="1:8" x14ac:dyDescent="0.25">
      <c r="A324" s="3" t="s">
        <v>330</v>
      </c>
      <c r="B324" s="1">
        <f t="shared" ref="B324:B344" si="17">MIN(C324,F324)</f>
        <v>174259</v>
      </c>
      <c r="C324">
        <v>175541</v>
      </c>
      <c r="D324" s="26">
        <v>301.01</v>
      </c>
      <c r="E324" s="4">
        <f t="shared" si="15"/>
        <v>7.3568231378400096E-3</v>
      </c>
      <c r="F324">
        <v>174259</v>
      </c>
      <c r="G324" s="26">
        <v>314.60300000000001</v>
      </c>
      <c r="H324" s="4">
        <f t="shared" si="16"/>
        <v>0</v>
      </c>
    </row>
    <row r="325" spans="1:8" x14ac:dyDescent="0.25">
      <c r="A325" s="5" t="s">
        <v>331</v>
      </c>
      <c r="B325" s="1">
        <f t="shared" si="17"/>
        <v>288943</v>
      </c>
      <c r="C325">
        <v>291512</v>
      </c>
      <c r="D325" s="26">
        <v>301.01</v>
      </c>
      <c r="E325" s="4">
        <f t="shared" si="15"/>
        <v>8.8909961791904316E-3</v>
      </c>
      <c r="F325">
        <v>288943</v>
      </c>
      <c r="G325" s="26">
        <v>309.755</v>
      </c>
      <c r="H325" s="4">
        <f t="shared" si="16"/>
        <v>0</v>
      </c>
    </row>
    <row r="326" spans="1:8" x14ac:dyDescent="0.25">
      <c r="A326" s="3" t="s">
        <v>332</v>
      </c>
      <c r="B326" s="1">
        <f t="shared" si="17"/>
        <v>175587</v>
      </c>
      <c r="C326">
        <v>175587</v>
      </c>
      <c r="D326" s="26">
        <v>301.50400000000002</v>
      </c>
      <c r="E326" s="4">
        <f t="shared" si="15"/>
        <v>0</v>
      </c>
      <c r="F326">
        <v>177243</v>
      </c>
      <c r="G326" s="26">
        <v>488.31700000000001</v>
      </c>
      <c r="H326" s="4">
        <f t="shared" si="16"/>
        <v>9.4311684169761031E-3</v>
      </c>
    </row>
    <row r="327" spans="1:8" x14ac:dyDescent="0.25">
      <c r="A327" s="5" t="s">
        <v>333</v>
      </c>
      <c r="B327" s="1">
        <f t="shared" si="17"/>
        <v>10098</v>
      </c>
      <c r="C327">
        <v>10208</v>
      </c>
      <c r="D327" s="26">
        <v>302.10899999999998</v>
      </c>
      <c r="E327" s="4">
        <f t="shared" si="15"/>
        <v>1.0892167541340727E-2</v>
      </c>
      <c r="F327">
        <v>10098</v>
      </c>
      <c r="G327" s="26">
        <v>303.74900000000002</v>
      </c>
      <c r="H327" s="4">
        <f t="shared" si="16"/>
        <v>0</v>
      </c>
    </row>
    <row r="328" spans="1:8" x14ac:dyDescent="0.25">
      <c r="A328" s="3" t="s">
        <v>334</v>
      </c>
      <c r="B328" s="1">
        <f t="shared" si="17"/>
        <v>18008</v>
      </c>
      <c r="C328">
        <v>18254</v>
      </c>
      <c r="D328" s="26">
        <v>301.30700000000002</v>
      </c>
      <c r="E328" s="4">
        <f t="shared" si="15"/>
        <v>1.365983674829252E-2</v>
      </c>
      <c r="F328">
        <v>18008</v>
      </c>
      <c r="G328" s="26">
        <v>356.84300000000002</v>
      </c>
      <c r="H328" s="4">
        <f t="shared" si="16"/>
        <v>0</v>
      </c>
    </row>
    <row r="329" spans="1:8" x14ac:dyDescent="0.25">
      <c r="A329" s="5" t="s">
        <v>335</v>
      </c>
      <c r="B329" s="1">
        <f t="shared" si="17"/>
        <v>9820</v>
      </c>
      <c r="C329">
        <v>10153</v>
      </c>
      <c r="D329" s="26">
        <v>302.71800000000002</v>
      </c>
      <c r="E329" s="4">
        <f t="shared" si="15"/>
        <v>3.3906934120761636E-2</v>
      </c>
      <c r="F329">
        <v>9820</v>
      </c>
      <c r="G329" s="26">
        <v>301.94400000000002</v>
      </c>
      <c r="H329" s="4">
        <f t="shared" si="16"/>
        <v>0</v>
      </c>
    </row>
    <row r="330" spans="1:8" x14ac:dyDescent="0.25">
      <c r="A330" s="3" t="s">
        <v>336</v>
      </c>
      <c r="B330" s="1">
        <f t="shared" si="17"/>
        <v>85294</v>
      </c>
      <c r="C330">
        <v>85294</v>
      </c>
      <c r="D330" s="26">
        <v>302.065</v>
      </c>
      <c r="E330" s="4">
        <f t="shared" si="15"/>
        <v>0</v>
      </c>
      <c r="F330">
        <v>86505</v>
      </c>
      <c r="G330" s="26">
        <v>319.27100000000002</v>
      </c>
      <c r="H330" s="4">
        <f t="shared" si="16"/>
        <v>1.4197784160853509E-2</v>
      </c>
    </row>
    <row r="331" spans="1:8" x14ac:dyDescent="0.25">
      <c r="A331" s="5" t="s">
        <v>337</v>
      </c>
      <c r="B331" s="1">
        <f t="shared" si="17"/>
        <v>139474</v>
      </c>
      <c r="C331">
        <v>142649</v>
      </c>
      <c r="D331" s="26">
        <v>301.65100000000001</v>
      </c>
      <c r="E331" s="4">
        <f t="shared" si="15"/>
        <v>2.2763936189281232E-2</v>
      </c>
      <c r="F331">
        <v>139474</v>
      </c>
      <c r="G331" s="26">
        <v>302.52199999999999</v>
      </c>
      <c r="H331" s="4">
        <f t="shared" si="16"/>
        <v>0</v>
      </c>
    </row>
    <row r="332" spans="1:8" x14ac:dyDescent="0.25">
      <c r="A332" s="3" t="s">
        <v>338</v>
      </c>
      <c r="B332" s="1">
        <f t="shared" si="17"/>
        <v>81438</v>
      </c>
      <c r="C332">
        <v>82806</v>
      </c>
      <c r="D332" s="26">
        <v>301.28399999999999</v>
      </c>
      <c r="E332" s="4">
        <f t="shared" si="15"/>
        <v>1.6797848696570441E-2</v>
      </c>
      <c r="F332">
        <v>81438</v>
      </c>
      <c r="G332" s="26">
        <v>401.41800000000001</v>
      </c>
      <c r="H332" s="4">
        <f t="shared" si="16"/>
        <v>0</v>
      </c>
    </row>
    <row r="333" spans="1:8" x14ac:dyDescent="0.25">
      <c r="A333" s="5" t="s">
        <v>339</v>
      </c>
      <c r="B333" s="1">
        <f t="shared" si="17"/>
        <v>235106</v>
      </c>
      <c r="C333">
        <v>248165</v>
      </c>
      <c r="D333" s="26">
        <v>301.05</v>
      </c>
      <c r="E333" s="4">
        <f t="shared" si="15"/>
        <v>5.5544922099299468E-2</v>
      </c>
      <c r="F333">
        <v>235106</v>
      </c>
      <c r="G333" s="26">
        <v>311.12299999999999</v>
      </c>
      <c r="H333" s="4">
        <f t="shared" si="16"/>
        <v>0</v>
      </c>
    </row>
    <row r="334" spans="1:8" x14ac:dyDescent="0.25">
      <c r="A334" s="3" t="s">
        <v>340</v>
      </c>
      <c r="B334" s="1">
        <f t="shared" si="17"/>
        <v>384264</v>
      </c>
      <c r="C334">
        <v>392398</v>
      </c>
      <c r="D334" s="26">
        <v>301.73700000000002</v>
      </c>
      <c r="E334" s="4">
        <f t="shared" si="15"/>
        <v>2.1167683759905274E-2</v>
      </c>
      <c r="F334">
        <v>384264</v>
      </c>
      <c r="G334" s="26">
        <v>313.57100000000003</v>
      </c>
      <c r="H334" s="4">
        <f t="shared" si="16"/>
        <v>0</v>
      </c>
    </row>
    <row r="335" spans="1:8" x14ac:dyDescent="0.25">
      <c r="A335" s="5" t="s">
        <v>341</v>
      </c>
      <c r="B335" s="1">
        <f t="shared" si="17"/>
        <v>229065</v>
      </c>
      <c r="C335">
        <v>229065</v>
      </c>
      <c r="D335" s="26">
        <v>301.80900000000003</v>
      </c>
      <c r="E335" s="4">
        <f t="shared" si="15"/>
        <v>0</v>
      </c>
      <c r="F335">
        <v>231286</v>
      </c>
      <c r="G335" s="26">
        <v>310.38900000000001</v>
      </c>
      <c r="H335" s="4">
        <f t="shared" si="16"/>
        <v>9.6958955060986798E-3</v>
      </c>
    </row>
    <row r="336" spans="1:8" x14ac:dyDescent="0.25">
      <c r="A336" s="3" t="s">
        <v>342</v>
      </c>
      <c r="B336" s="1">
        <f t="shared" si="17"/>
        <v>13153</v>
      </c>
      <c r="C336">
        <v>13914</v>
      </c>
      <c r="D336" s="26">
        <v>301.29500000000002</v>
      </c>
      <c r="E336" s="4">
        <f t="shared" si="15"/>
        <v>5.7853124524859356E-2</v>
      </c>
      <c r="F336">
        <v>13153</v>
      </c>
      <c r="G336" s="26">
        <v>445.24700000000001</v>
      </c>
      <c r="H336" s="4">
        <f t="shared" si="16"/>
        <v>0</v>
      </c>
    </row>
    <row r="337" spans="1:12" x14ac:dyDescent="0.25">
      <c r="A337" s="5" t="s">
        <v>343</v>
      </c>
      <c r="B337" s="1">
        <f t="shared" si="17"/>
        <v>23727</v>
      </c>
      <c r="C337">
        <v>24580</v>
      </c>
      <c r="D337" s="26">
        <v>301.61200000000002</v>
      </c>
      <c r="E337" s="4">
        <f t="shared" si="15"/>
        <v>3.594908968307485E-2</v>
      </c>
      <c r="F337">
        <v>23727</v>
      </c>
      <c r="G337" s="26">
        <v>368.65899999999999</v>
      </c>
      <c r="H337" s="4">
        <f t="shared" si="16"/>
        <v>0</v>
      </c>
    </row>
    <row r="338" spans="1:12" ht="15.75" thickBot="1" x14ac:dyDescent="0.3">
      <c r="A338" s="3" t="s">
        <v>344</v>
      </c>
      <c r="B338" s="1">
        <f t="shared" si="17"/>
        <v>13021</v>
      </c>
      <c r="C338">
        <v>13021</v>
      </c>
      <c r="D338" s="26">
        <v>301.69400000000002</v>
      </c>
      <c r="E338" s="4">
        <f t="shared" si="15"/>
        <v>0</v>
      </c>
      <c r="F338">
        <v>13337</v>
      </c>
      <c r="G338" s="26">
        <v>370.70100000000002</v>
      </c>
      <c r="H338" s="4">
        <f t="shared" si="16"/>
        <v>2.4266625710336352E-2</v>
      </c>
    </row>
    <row r="339" spans="1:12" ht="15.75" thickBot="1" x14ac:dyDescent="0.3">
      <c r="A339" s="5" t="s">
        <v>345</v>
      </c>
      <c r="B339" s="1">
        <f t="shared" si="17"/>
        <v>109127</v>
      </c>
      <c r="C339">
        <v>111660</v>
      </c>
      <c r="D339" s="26">
        <v>301.89499999999998</v>
      </c>
      <c r="E339" s="4">
        <f t="shared" si="15"/>
        <v>2.3211274833223369E-2</v>
      </c>
      <c r="F339">
        <v>109127</v>
      </c>
      <c r="G339" s="26">
        <v>340.62700000000001</v>
      </c>
      <c r="H339" s="4">
        <f t="shared" si="16"/>
        <v>0</v>
      </c>
      <c r="J339" s="40" t="s">
        <v>346</v>
      </c>
      <c r="K339" s="41"/>
      <c r="L339" s="42"/>
    </row>
    <row r="340" spans="1:12" x14ac:dyDescent="0.25">
      <c r="A340" s="3" t="s">
        <v>347</v>
      </c>
      <c r="B340" s="1">
        <f t="shared" si="17"/>
        <v>184263</v>
      </c>
      <c r="C340">
        <v>187817</v>
      </c>
      <c r="D340" s="26">
        <v>301.65300000000002</v>
      </c>
      <c r="E340" s="4">
        <f t="shared" si="15"/>
        <v>1.9287543958667996E-2</v>
      </c>
      <c r="F340">
        <v>184263</v>
      </c>
      <c r="G340" s="26">
        <v>303.60199999999998</v>
      </c>
      <c r="H340" s="4">
        <f t="shared" si="16"/>
        <v>0</v>
      </c>
      <c r="J340" s="6"/>
      <c r="K340" s="7" t="str">
        <f>$C$1</f>
        <v>BVNS</v>
      </c>
      <c r="L340" s="8" t="str">
        <f>$F$1</f>
        <v>UCB1</v>
      </c>
    </row>
    <row r="341" spans="1:12" x14ac:dyDescent="0.25">
      <c r="A341" s="5" t="s">
        <v>348</v>
      </c>
      <c r="B341" s="1">
        <f t="shared" si="17"/>
        <v>111020</v>
      </c>
      <c r="C341">
        <v>111499</v>
      </c>
      <c r="D341" s="26">
        <v>301.36500000000001</v>
      </c>
      <c r="E341" s="4">
        <f t="shared" si="15"/>
        <v>4.3144990587366356E-3</v>
      </c>
      <c r="F341">
        <v>111020</v>
      </c>
      <c r="G341" s="26">
        <v>303.14800000000002</v>
      </c>
      <c r="H341" s="4">
        <f t="shared" si="16"/>
        <v>0</v>
      </c>
      <c r="J341" s="9" t="s">
        <v>3</v>
      </c>
      <c r="K341" s="10">
        <f>AVERAGE(C228:C344)</f>
        <v>46989.085470085469</v>
      </c>
      <c r="L341" s="11">
        <f>AVERAGE(F228:F344)</f>
        <v>46435.86324786325</v>
      </c>
    </row>
    <row r="342" spans="1:12" x14ac:dyDescent="0.25">
      <c r="A342" s="3" t="s">
        <v>349</v>
      </c>
      <c r="B342" s="1">
        <f t="shared" si="17"/>
        <v>298015</v>
      </c>
      <c r="C342">
        <v>316294</v>
      </c>
      <c r="D342" s="26">
        <v>303.80099999999999</v>
      </c>
      <c r="E342" s="4">
        <f t="shared" si="15"/>
        <v>6.1335632986148393E-2</v>
      </c>
      <c r="F342">
        <v>298015</v>
      </c>
      <c r="G342" s="26">
        <v>311.85899999999998</v>
      </c>
      <c r="H342" s="4">
        <f t="shared" si="16"/>
        <v>0</v>
      </c>
      <c r="J342" s="9" t="s">
        <v>4</v>
      </c>
      <c r="K342" s="10">
        <f>AVERAGE(D228:D344)</f>
        <v>271.08032478632481</v>
      </c>
      <c r="L342" s="11">
        <f>AVERAGE(G228:G344)</f>
        <v>298.4521282051283</v>
      </c>
    </row>
    <row r="343" spans="1:12" x14ac:dyDescent="0.25">
      <c r="A343" s="5" t="s">
        <v>350</v>
      </c>
      <c r="B343" s="1">
        <f t="shared" si="17"/>
        <v>500856</v>
      </c>
      <c r="C343">
        <v>504584</v>
      </c>
      <c r="D343" s="26">
        <v>301.25599999999997</v>
      </c>
      <c r="E343" s="4">
        <f t="shared" si="15"/>
        <v>7.4432422827274049E-3</v>
      </c>
      <c r="F343">
        <v>500856</v>
      </c>
      <c r="G343" s="26">
        <v>336.59899999999999</v>
      </c>
      <c r="H343" s="4">
        <f t="shared" si="16"/>
        <v>0</v>
      </c>
      <c r="J343" s="12" t="s">
        <v>5</v>
      </c>
      <c r="K343" s="29">
        <f>AVERAGE(E228:E344)</f>
        <v>1.2384758833632459E-2</v>
      </c>
      <c r="L343" s="30">
        <f>AVERAGE(H228:H344)</f>
        <v>1.9947853975959894E-2</v>
      </c>
    </row>
    <row r="344" spans="1:12" ht="15.75" thickBot="1" x14ac:dyDescent="0.3">
      <c r="A344" s="21" t="s">
        <v>351</v>
      </c>
      <c r="B344" s="19">
        <f t="shared" si="17"/>
        <v>300592</v>
      </c>
      <c r="C344" s="27">
        <v>303133</v>
      </c>
      <c r="D344" s="28">
        <v>302.02199999999999</v>
      </c>
      <c r="E344" s="13">
        <f t="shared" si="15"/>
        <v>8.4532906621245345E-3</v>
      </c>
      <c r="F344" s="27">
        <v>300592</v>
      </c>
      <c r="G344" s="28">
        <v>308.96600000000001</v>
      </c>
      <c r="H344" s="13">
        <f t="shared" si="16"/>
        <v>0</v>
      </c>
      <c r="I344" s="14"/>
      <c r="J344" s="15" t="s">
        <v>115</v>
      </c>
      <c r="K344" s="16">
        <f>COUNTIF(E228:E344,"=0")</f>
        <v>57</v>
      </c>
      <c r="L344" s="17">
        <f>COUNTIF(H228:H344,"=0")</f>
        <v>77</v>
      </c>
    </row>
    <row r="345" spans="1:12" x14ac:dyDescent="0.25">
      <c r="C345" s="22">
        <f t="shared" ref="C345:H345" si="18">AVERAGE(C3:C344)</f>
        <v>55960.233918128652</v>
      </c>
      <c r="D345" s="22">
        <f t="shared" si="18"/>
        <v>242.71147953216362</v>
      </c>
      <c r="E345" s="23">
        <f t="shared" si="18"/>
        <v>202.40801752418182</v>
      </c>
      <c r="F345" s="22">
        <f t="shared" si="18"/>
        <v>55361.307017543862</v>
      </c>
      <c r="G345" s="22">
        <f t="shared" si="18"/>
        <v>235.78735087719275</v>
      </c>
      <c r="H345" s="23">
        <f t="shared" si="18"/>
        <v>2.1313143811526629</v>
      </c>
    </row>
    <row r="346" spans="1:12" x14ac:dyDescent="0.25">
      <c r="C346" s="24"/>
      <c r="D346" s="1"/>
      <c r="E346" s="25">
        <f>COUNTIF(E3:E344,"=0")</f>
        <v>185</v>
      </c>
      <c r="F346" s="24"/>
      <c r="G346" s="1"/>
      <c r="H346" s="25">
        <f>COUNTIF(H3:H344,"=0")</f>
        <v>262</v>
      </c>
      <c r="I346" t="s">
        <v>354</v>
      </c>
    </row>
    <row r="347" spans="1:12" ht="15.75" thickBot="1" x14ac:dyDescent="0.3">
      <c r="B347" s="1"/>
      <c r="C347" s="1" t="s">
        <v>3</v>
      </c>
      <c r="D347" s="1" t="s">
        <v>4</v>
      </c>
      <c r="E347" s="2" t="s">
        <v>5</v>
      </c>
      <c r="F347" s="1" t="s">
        <v>3</v>
      </c>
      <c r="G347" s="1" t="s">
        <v>4</v>
      </c>
      <c r="H347" s="2" t="s">
        <v>5</v>
      </c>
    </row>
    <row r="348" spans="1:12" ht="15.75" thickBot="1" x14ac:dyDescent="0.3">
      <c r="B348" s="1"/>
      <c r="C348" s="38" t="s">
        <v>352</v>
      </c>
      <c r="D348" s="38"/>
      <c r="E348" s="39"/>
      <c r="F348" s="38" t="str">
        <f>F1</f>
        <v>UCB1</v>
      </c>
      <c r="G348" s="38"/>
      <c r="H348" s="39"/>
      <c r="J348" s="40" t="s">
        <v>353</v>
      </c>
      <c r="K348" s="41"/>
      <c r="L348" s="42"/>
    </row>
    <row r="349" spans="1:12" x14ac:dyDescent="0.25">
      <c r="J349" s="6"/>
      <c r="K349" s="7" t="str">
        <f>$C$1</f>
        <v>BVNS</v>
      </c>
      <c r="L349" s="8" t="str">
        <f>$F$1</f>
        <v>UCB1</v>
      </c>
    </row>
    <row r="350" spans="1:12" x14ac:dyDescent="0.25">
      <c r="J350" s="9" t="s">
        <v>3</v>
      </c>
      <c r="K350" s="10">
        <f>C345</f>
        <v>55960.233918128652</v>
      </c>
      <c r="L350" s="11">
        <f>F345</f>
        <v>55361.307017543862</v>
      </c>
    </row>
    <row r="351" spans="1:12" x14ac:dyDescent="0.25">
      <c r="J351" s="9" t="s">
        <v>4</v>
      </c>
      <c r="K351" s="10">
        <f>D345</f>
        <v>242.71147953216362</v>
      </c>
      <c r="L351" s="11">
        <f>G345</f>
        <v>235.78735087719275</v>
      </c>
    </row>
    <row r="352" spans="1:12" x14ac:dyDescent="0.25">
      <c r="J352" s="12" t="s">
        <v>5</v>
      </c>
      <c r="K352" s="29">
        <f>E345</f>
        <v>202.40801752418182</v>
      </c>
      <c r="L352" s="30">
        <f>H345</f>
        <v>2.1313143811526629</v>
      </c>
    </row>
    <row r="353" spans="10:12" ht="15.75" thickBot="1" x14ac:dyDescent="0.3">
      <c r="J353" s="15" t="s">
        <v>115</v>
      </c>
      <c r="K353" s="16">
        <f>E346</f>
        <v>185</v>
      </c>
      <c r="L353" s="17">
        <f>H346</f>
        <v>262</v>
      </c>
    </row>
  </sheetData>
  <mergeCells count="8">
    <mergeCell ref="C348:E348"/>
    <mergeCell ref="F348:H348"/>
    <mergeCell ref="J348:L348"/>
    <mergeCell ref="C1:E1"/>
    <mergeCell ref="F1:H1"/>
    <mergeCell ref="J105:L105"/>
    <mergeCell ref="J222:L222"/>
    <mergeCell ref="J339:L339"/>
  </mergeCells>
  <conditionalFormatting sqref="C345 F345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45 G345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46 H34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45 E345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4:I40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50:L35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51:L35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52:L35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53:L3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0307F-D994-48B1-8B35-98149BC7E9F0}">
  <dimension ref="A1:L20"/>
  <sheetViews>
    <sheetView workbookViewId="0">
      <selection activeCell="F8" sqref="F8"/>
    </sheetView>
  </sheetViews>
  <sheetFormatPr defaultRowHeight="15" x14ac:dyDescent="0.25"/>
  <cols>
    <col min="1" max="1" width="40.28515625" bestFit="1" customWidth="1"/>
    <col min="4" max="4" width="9.5703125" bestFit="1" customWidth="1"/>
  </cols>
  <sheetData>
    <row r="1" spans="1:12" x14ac:dyDescent="0.25">
      <c r="A1" s="1"/>
      <c r="B1" s="1"/>
      <c r="C1" s="38" t="s">
        <v>352</v>
      </c>
      <c r="D1" s="38"/>
      <c r="E1" s="39"/>
      <c r="F1" s="38" t="s">
        <v>0</v>
      </c>
      <c r="G1" s="38"/>
      <c r="H1" s="39"/>
    </row>
    <row r="2" spans="1:12" x14ac:dyDescent="0.2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1" t="s">
        <v>3</v>
      </c>
      <c r="G2" s="1" t="s">
        <v>4</v>
      </c>
      <c r="H2" s="2" t="s">
        <v>5</v>
      </c>
    </row>
    <row r="3" spans="1:12" x14ac:dyDescent="0.25">
      <c r="A3" s="3" t="s">
        <v>355</v>
      </c>
      <c r="B3" s="1">
        <f>MIN(C3,F3)</f>
        <v>0</v>
      </c>
      <c r="C3" s="31">
        <v>0</v>
      </c>
      <c r="D3" s="26">
        <v>0.70099999999999996</v>
      </c>
      <c r="E3" s="4">
        <f t="shared" ref="E3:E16" si="0">(C3-$B3)/(1+$B3)</f>
        <v>0</v>
      </c>
      <c r="F3">
        <v>0</v>
      </c>
      <c r="G3" s="26">
        <v>1.359</v>
      </c>
      <c r="H3" s="4">
        <f t="shared" ref="H3:H16" si="1">(F3-$B3)/(1+$B3)</f>
        <v>0</v>
      </c>
    </row>
    <row r="4" spans="1:12" x14ac:dyDescent="0.25">
      <c r="A4" s="5" t="s">
        <v>356</v>
      </c>
      <c r="B4" s="1">
        <f t="shared" ref="B4:B16" si="2">MIN(C4,F4)</f>
        <v>34</v>
      </c>
      <c r="C4" s="31">
        <v>34</v>
      </c>
      <c r="D4" s="26">
        <v>301</v>
      </c>
      <c r="E4" s="4">
        <f t="shared" si="0"/>
        <v>0</v>
      </c>
      <c r="F4">
        <v>34</v>
      </c>
      <c r="G4" s="26">
        <v>302.00700000000001</v>
      </c>
      <c r="H4" s="4">
        <f t="shared" si="1"/>
        <v>0</v>
      </c>
    </row>
    <row r="5" spans="1:12" x14ac:dyDescent="0.25">
      <c r="A5" s="3" t="s">
        <v>357</v>
      </c>
      <c r="B5" s="1">
        <f t="shared" si="2"/>
        <v>1</v>
      </c>
      <c r="C5" s="31">
        <v>1</v>
      </c>
      <c r="D5" s="26">
        <v>311.59300000000002</v>
      </c>
      <c r="E5" s="4">
        <f t="shared" si="0"/>
        <v>0</v>
      </c>
      <c r="F5">
        <v>3</v>
      </c>
      <c r="G5" s="26">
        <v>303.75400000000002</v>
      </c>
      <c r="H5" s="4">
        <f t="shared" si="1"/>
        <v>1</v>
      </c>
    </row>
    <row r="6" spans="1:12" x14ac:dyDescent="0.25">
      <c r="A6" s="5" t="s">
        <v>358</v>
      </c>
      <c r="B6" s="1">
        <f t="shared" si="2"/>
        <v>917</v>
      </c>
      <c r="C6" s="31">
        <v>1541</v>
      </c>
      <c r="D6" s="26">
        <v>303.87799999999999</v>
      </c>
      <c r="E6" s="4">
        <f t="shared" si="0"/>
        <v>0.6797385620915033</v>
      </c>
      <c r="F6">
        <v>917</v>
      </c>
      <c r="G6" s="26">
        <v>503.21100000000001</v>
      </c>
      <c r="H6" s="4">
        <f t="shared" si="1"/>
        <v>0</v>
      </c>
    </row>
    <row r="7" spans="1:12" x14ac:dyDescent="0.25">
      <c r="A7" s="3" t="s">
        <v>359</v>
      </c>
      <c r="B7" s="1">
        <f t="shared" si="2"/>
        <v>93</v>
      </c>
      <c r="C7" s="31">
        <v>225</v>
      </c>
      <c r="D7" s="26">
        <v>378.755</v>
      </c>
      <c r="E7" s="4">
        <f t="shared" si="0"/>
        <v>1.4042553191489362</v>
      </c>
      <c r="F7">
        <v>93</v>
      </c>
      <c r="G7" s="26">
        <v>370.59399999999999</v>
      </c>
      <c r="H7" s="4">
        <f t="shared" si="1"/>
        <v>0</v>
      </c>
    </row>
    <row r="8" spans="1:12" x14ac:dyDescent="0.25">
      <c r="A8" s="5" t="s">
        <v>360</v>
      </c>
      <c r="B8" s="1">
        <f t="shared" si="2"/>
        <v>130</v>
      </c>
      <c r="C8" s="31">
        <v>258</v>
      </c>
      <c r="D8" s="26">
        <v>304.28100000000001</v>
      </c>
      <c r="E8" s="4">
        <f t="shared" si="0"/>
        <v>0.97709923664122134</v>
      </c>
      <c r="F8">
        <v>130</v>
      </c>
      <c r="G8" s="26">
        <v>302.89499999999998</v>
      </c>
      <c r="H8" s="4">
        <f t="shared" si="1"/>
        <v>0</v>
      </c>
    </row>
    <row r="9" spans="1:12" x14ac:dyDescent="0.25">
      <c r="A9" s="3" t="s">
        <v>361</v>
      </c>
      <c r="B9" s="1">
        <f t="shared" si="2"/>
        <v>2550</v>
      </c>
      <c r="C9" s="31">
        <v>4551</v>
      </c>
      <c r="D9" s="26">
        <v>51227.199999999997</v>
      </c>
      <c r="E9" s="4">
        <f t="shared" si="0"/>
        <v>0.78439827518620153</v>
      </c>
      <c r="F9">
        <v>2550</v>
      </c>
      <c r="G9" s="26">
        <v>340.09500000000003</v>
      </c>
      <c r="H9" s="4">
        <f t="shared" si="1"/>
        <v>0</v>
      </c>
    </row>
    <row r="10" spans="1:12" ht="15.75" thickBot="1" x14ac:dyDescent="0.3">
      <c r="A10" s="5" t="s">
        <v>362</v>
      </c>
      <c r="B10" s="1">
        <f t="shared" si="2"/>
        <v>549</v>
      </c>
      <c r="C10" s="31">
        <v>1118</v>
      </c>
      <c r="D10" s="26">
        <v>25783.35</v>
      </c>
      <c r="E10" s="4">
        <f t="shared" si="0"/>
        <v>1.0345454545454544</v>
      </c>
      <c r="F10">
        <v>549</v>
      </c>
      <c r="G10" s="26">
        <v>338.94400000000002</v>
      </c>
      <c r="H10" s="4">
        <f t="shared" si="1"/>
        <v>0</v>
      </c>
    </row>
    <row r="11" spans="1:12" ht="15.75" thickBot="1" x14ac:dyDescent="0.3">
      <c r="A11" s="3" t="s">
        <v>363</v>
      </c>
      <c r="B11" s="1">
        <f t="shared" si="2"/>
        <v>41</v>
      </c>
      <c r="C11" s="31">
        <v>41</v>
      </c>
      <c r="D11" s="26">
        <v>302.346</v>
      </c>
      <c r="E11" s="4">
        <f t="shared" si="0"/>
        <v>0</v>
      </c>
      <c r="F11">
        <v>50</v>
      </c>
      <c r="G11" s="26">
        <v>339.41500000000002</v>
      </c>
      <c r="H11" s="4">
        <f t="shared" si="1"/>
        <v>0.21428571428571427</v>
      </c>
      <c r="J11" s="40" t="s">
        <v>369</v>
      </c>
      <c r="K11" s="41"/>
      <c r="L11" s="42"/>
    </row>
    <row r="12" spans="1:12" x14ac:dyDescent="0.25">
      <c r="A12" s="5" t="s">
        <v>364</v>
      </c>
      <c r="B12" s="1">
        <f t="shared" si="2"/>
        <v>48</v>
      </c>
      <c r="C12" s="31">
        <v>63</v>
      </c>
      <c r="D12" s="26">
        <v>301.15600000000001</v>
      </c>
      <c r="E12" s="4">
        <f t="shared" si="0"/>
        <v>0.30612244897959184</v>
      </c>
      <c r="F12">
        <v>48</v>
      </c>
      <c r="G12" s="26">
        <v>332.78399999999999</v>
      </c>
      <c r="H12" s="4">
        <f t="shared" si="1"/>
        <v>0</v>
      </c>
      <c r="J12" s="6"/>
      <c r="K12" s="7" t="str">
        <f>$C$1</f>
        <v>BVNS</v>
      </c>
      <c r="L12" s="8" t="str">
        <f>$F$1</f>
        <v>UCB1</v>
      </c>
    </row>
    <row r="13" spans="1:12" x14ac:dyDescent="0.25">
      <c r="A13" s="3" t="s">
        <v>365</v>
      </c>
      <c r="B13" s="1">
        <f t="shared" si="2"/>
        <v>0</v>
      </c>
      <c r="C13" s="31">
        <v>0</v>
      </c>
      <c r="D13" s="26">
        <v>1.1020000000000001</v>
      </c>
      <c r="E13" s="4">
        <f t="shared" si="0"/>
        <v>0</v>
      </c>
      <c r="F13">
        <v>0</v>
      </c>
      <c r="G13" s="26">
        <v>2.2919999999999998</v>
      </c>
      <c r="H13" s="4">
        <f t="shared" si="1"/>
        <v>0</v>
      </c>
      <c r="J13" s="9" t="s">
        <v>3</v>
      </c>
      <c r="K13" s="10">
        <f>C17</f>
        <v>3319</v>
      </c>
      <c r="L13" s="11">
        <f>F17</f>
        <v>2835.6428571428573</v>
      </c>
    </row>
    <row r="14" spans="1:12" x14ac:dyDescent="0.25">
      <c r="A14" s="5" t="s">
        <v>366</v>
      </c>
      <c r="B14" s="1">
        <f t="shared" si="2"/>
        <v>2956</v>
      </c>
      <c r="C14" s="31">
        <v>6048</v>
      </c>
      <c r="D14" s="26">
        <v>2759.529</v>
      </c>
      <c r="E14" s="4">
        <f t="shared" si="0"/>
        <v>1.0456543794386202</v>
      </c>
      <c r="F14">
        <v>2956</v>
      </c>
      <c r="G14" s="26">
        <v>309.39800000000002</v>
      </c>
      <c r="H14" s="4">
        <f t="shared" si="1"/>
        <v>0</v>
      </c>
      <c r="J14" s="9" t="s">
        <v>4</v>
      </c>
      <c r="K14" s="10">
        <f>D17</f>
        <v>69363.885999999999</v>
      </c>
      <c r="L14" s="11">
        <f>G17</f>
        <v>307.49985714285719</v>
      </c>
    </row>
    <row r="15" spans="1:12" x14ac:dyDescent="0.25">
      <c r="A15" s="5" t="s">
        <v>367</v>
      </c>
      <c r="B15" s="1">
        <f t="shared" si="2"/>
        <v>32045</v>
      </c>
      <c r="C15" s="31">
        <v>32045</v>
      </c>
      <c r="D15" s="26">
        <v>888074.91</v>
      </c>
      <c r="E15" s="4">
        <f t="shared" si="0"/>
        <v>0</v>
      </c>
      <c r="F15">
        <v>32268</v>
      </c>
      <c r="G15" s="26">
        <v>431.35599999999999</v>
      </c>
      <c r="H15" s="4">
        <f t="shared" si="1"/>
        <v>6.9587468014728829E-3</v>
      </c>
      <c r="J15" s="12" t="s">
        <v>5</v>
      </c>
      <c r="K15" s="29">
        <f>E17</f>
        <v>0.75325279758768615</v>
      </c>
      <c r="L15" s="30">
        <f>H17</f>
        <v>8.723174722051337E-2</v>
      </c>
    </row>
    <row r="16" spans="1:12" ht="15.75" thickBot="1" x14ac:dyDescent="0.3">
      <c r="A16" s="3" t="s">
        <v>368</v>
      </c>
      <c r="B16" s="1">
        <f t="shared" si="2"/>
        <v>101</v>
      </c>
      <c r="C16" s="31">
        <v>541</v>
      </c>
      <c r="D16" s="26">
        <v>1044.6030000000001</v>
      </c>
      <c r="E16" s="4">
        <f t="shared" si="0"/>
        <v>4.3137254901960782</v>
      </c>
      <c r="F16">
        <v>101</v>
      </c>
      <c r="G16" s="26">
        <v>426.89400000000001</v>
      </c>
      <c r="H16" s="4">
        <f t="shared" si="1"/>
        <v>0</v>
      </c>
      <c r="J16" s="15" t="s">
        <v>115</v>
      </c>
      <c r="K16" s="16">
        <f>E18</f>
        <v>6</v>
      </c>
      <c r="L16" s="17">
        <f>H18</f>
        <v>11</v>
      </c>
    </row>
    <row r="17" spans="2:8" x14ac:dyDescent="0.25">
      <c r="C17" s="22">
        <f t="shared" ref="C17:H17" si="3">AVERAGE(C3:C16)</f>
        <v>3319</v>
      </c>
      <c r="D17" s="22">
        <f t="shared" si="3"/>
        <v>69363.885999999999</v>
      </c>
      <c r="E17" s="23">
        <f t="shared" si="3"/>
        <v>0.75325279758768615</v>
      </c>
      <c r="F17" s="22">
        <f t="shared" si="3"/>
        <v>2835.6428571428573</v>
      </c>
      <c r="G17" s="22">
        <f t="shared" si="3"/>
        <v>307.49985714285719</v>
      </c>
      <c r="H17" s="23">
        <f t="shared" si="3"/>
        <v>8.723174722051337E-2</v>
      </c>
    </row>
    <row r="18" spans="2:8" x14ac:dyDescent="0.25">
      <c r="C18" s="24"/>
      <c r="D18" s="1"/>
      <c r="E18" s="25">
        <f>COUNTIF(E3:E16,"=0")</f>
        <v>6</v>
      </c>
      <c r="F18" s="24"/>
      <c r="G18" s="1"/>
      <c r="H18" s="25">
        <f>COUNTIF(H3:H16,"=0")</f>
        <v>11</v>
      </c>
    </row>
    <row r="19" spans="2:8" x14ac:dyDescent="0.25">
      <c r="B19" s="1"/>
      <c r="C19" s="1" t="s">
        <v>3</v>
      </c>
      <c r="D19" s="1" t="s">
        <v>4</v>
      </c>
      <c r="E19" s="2" t="s">
        <v>5</v>
      </c>
      <c r="F19" s="1" t="s">
        <v>3</v>
      </c>
      <c r="G19" s="1" t="s">
        <v>4</v>
      </c>
      <c r="H19" s="2" t="s">
        <v>5</v>
      </c>
    </row>
    <row r="20" spans="2:8" x14ac:dyDescent="0.25">
      <c r="B20" s="1"/>
      <c r="C20" s="38" t="str">
        <f>C1</f>
        <v>BVNS</v>
      </c>
      <c r="D20" s="38"/>
      <c r="E20" s="39"/>
      <c r="F20" s="38" t="str">
        <f>F1</f>
        <v>UCB1</v>
      </c>
      <c r="G20" s="38"/>
      <c r="H20" s="39"/>
    </row>
  </sheetData>
  <mergeCells count="5">
    <mergeCell ref="C1:E1"/>
    <mergeCell ref="F1:H1"/>
    <mergeCell ref="C20:E20"/>
    <mergeCell ref="F20:H20"/>
    <mergeCell ref="J11:L11"/>
  </mergeCells>
  <conditionalFormatting sqref="K13:L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4:L1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5:L1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6:L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f84c4ea-370d-4b9e-830c-756f8bf1b51f}" enabled="0" method="" siteId="{5f84c4ea-370d-4b9e-830c-756f8bf1b51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Instances properties</vt:lpstr>
      <vt:lpstr>MAB independent arms</vt:lpstr>
      <vt:lpstr>Complete, interval, random</vt:lpstr>
      <vt:lpstr>Real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Robles Rodríguez</dc:creator>
  <cp:lastModifiedBy>Marcos Robles Rodríguez</cp:lastModifiedBy>
  <dcterms:created xsi:type="dcterms:W3CDTF">2024-10-15T09:06:07Z</dcterms:created>
  <dcterms:modified xsi:type="dcterms:W3CDTF">2024-10-29T19:20:36Z</dcterms:modified>
</cp:coreProperties>
</file>